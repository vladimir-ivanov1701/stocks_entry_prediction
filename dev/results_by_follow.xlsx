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vladi\Documents\stocks_entry_prediction\dev\"/>
    </mc:Choice>
  </mc:AlternateContent>
  <xr:revisionPtr revIDLastSave="0" documentId="13_ncr:1_{DBF1D5CB-559E-4BEC-8D4B-AC9FE91B475F}" xr6:coauthVersionLast="47" xr6:coauthVersionMax="47" xr10:uidLastSave="{00000000-0000-0000-0000-000000000000}"/>
  <bookViews>
    <workbookView xWindow="4080" yWindow="4065" windowWidth="17250" windowHeight="8865" activeTab="1" xr2:uid="{00000000-000D-0000-FFFF-FFFF00000000}"/>
  </bookViews>
  <sheets>
    <sheet name="Sheet1" sheetId="1" r:id="rId1"/>
    <sheet name="oct24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3" i="2" l="1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" i="2"/>
  <c r="D3" i="2"/>
  <c r="E3" i="2"/>
  <c r="D4" i="2"/>
  <c r="E4" i="2"/>
  <c r="D5" i="2"/>
  <c r="E5" i="2"/>
  <c r="D6" i="2"/>
  <c r="E6" i="2"/>
  <c r="D7" i="2"/>
  <c r="E7" i="2"/>
  <c r="D8" i="2"/>
  <c r="E8" i="2"/>
  <c r="D9" i="2"/>
  <c r="E9" i="2"/>
  <c r="D10" i="2"/>
  <c r="E10" i="2"/>
  <c r="D11" i="2"/>
  <c r="E11" i="2"/>
  <c r="D12" i="2"/>
  <c r="E12" i="2"/>
  <c r="D13" i="2"/>
  <c r="E13" i="2"/>
  <c r="D14" i="2"/>
  <c r="E14" i="2"/>
  <c r="D15" i="2"/>
  <c r="E15" i="2"/>
  <c r="D16" i="2"/>
  <c r="E16" i="2"/>
  <c r="D17" i="2"/>
  <c r="E17" i="2"/>
  <c r="D18" i="2"/>
  <c r="E18" i="2"/>
  <c r="D19" i="2"/>
  <c r="E19" i="2"/>
  <c r="D20" i="2"/>
  <c r="E20" i="2"/>
  <c r="E2" i="2"/>
  <c r="D2" i="2"/>
  <c r="N1" i="2" l="1"/>
  <c r="N2" i="2" l="1"/>
  <c r="N3" i="2"/>
</calcChain>
</file>

<file path=xl/sharedStrings.xml><?xml version="1.0" encoding="utf-8"?>
<sst xmlns="http://schemas.openxmlformats.org/spreadsheetml/2006/main" count="46" uniqueCount="28">
  <si>
    <t>DATE</t>
  </si>
  <si>
    <t>TIME</t>
  </si>
  <si>
    <t>OPEN</t>
  </si>
  <si>
    <t>HIGH</t>
  </si>
  <si>
    <t>LOW</t>
  </si>
  <si>
    <t>CLOSE</t>
  </si>
  <si>
    <t>VOL</t>
  </si>
  <si>
    <t>ATR</t>
  </si>
  <si>
    <t>CANDLE_COLOR</t>
  </si>
  <si>
    <t>PREV_CANDLE_COLOR</t>
  </si>
  <si>
    <t>SL_SIZE</t>
  </si>
  <si>
    <t>TP_SIZE</t>
  </si>
  <si>
    <t>PROFIT_LONG</t>
  </si>
  <si>
    <t>PROFIT_SHORT</t>
  </si>
  <si>
    <t>TOTAL_PROFIT</t>
  </si>
  <si>
    <t>№</t>
  </si>
  <si>
    <t>Дата</t>
  </si>
  <si>
    <t>SL Size</t>
  </si>
  <si>
    <t>TP Size</t>
  </si>
  <si>
    <t>Direction</t>
  </si>
  <si>
    <t>Open Price</t>
  </si>
  <si>
    <t>SL</t>
  </si>
  <si>
    <t>TP</t>
  </si>
  <si>
    <t>Close Price</t>
  </si>
  <si>
    <t>Financial result</t>
  </si>
  <si>
    <t>long</t>
  </si>
  <si>
    <t>short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</si>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</sst>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yyyy\-mm\-dd\ hh:mm:ss"/>
    <numFmt numFmtId="166" formatCode="_-* #,##0_-;\-* #,##0_-;_-* &quot;-&quot;??_-;_-@_-"/>
    <numFmt numFmtId="167" formatCode="#,##0.00_ ;\-#,##0.00\ 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14" fontId="0" fillId="0" borderId="0" xfId="0" applyNumberFormat="1"/>
    <xf numFmtId="166" fontId="0" fillId="0" borderId="0" xfId="1" applyNumberFormat="1" applyFont="1"/>
    <xf numFmtId="167" fontId="0" fillId="0" borderId="0" xfId="1" applyNumberFormat="1" applyFont="1"/>
    <xf numFmtId="166" fontId="0" fillId="0" borderId="0" xfId="0" applyNumberFormat="1"/>
  </cellXfs>
  <cellStyles count="2">
    <cellStyle name="Обычный" xfId="0" builtinId="0"/>
    <cellStyle name="Финансовый" xfId="1" builtinId="3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431"/>
  <sheetViews>
    <sheetView workbookViewId="0"/>
  </sheetViews>
  <sheetFormatPr defaultRowHeight="15" x14ac:dyDescent="0.25"/>
  <sheetData>
    <row r="1" spans="1:16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</row>
    <row r="2" spans="1:16" x14ac:dyDescent="0.25">
      <c r="A2" s="1">
        <v>14</v>
      </c>
      <c r="B2" s="2">
        <v>44949</v>
      </c>
      <c r="C2">
        <v>0</v>
      </c>
      <c r="D2">
        <v>69498</v>
      </c>
      <c r="E2">
        <v>69945</v>
      </c>
      <c r="F2">
        <v>68921</v>
      </c>
      <c r="G2">
        <v>69799</v>
      </c>
      <c r="H2">
        <v>967899</v>
      </c>
      <c r="I2">
        <v>1266.82</v>
      </c>
      <c r="J2">
        <v>1</v>
      </c>
      <c r="K2">
        <v>1</v>
      </c>
      <c r="L2">
        <v>428</v>
      </c>
      <c r="M2">
        <v>857</v>
      </c>
      <c r="N2">
        <v>327</v>
      </c>
      <c r="O2">
        <v>0</v>
      </c>
      <c r="P2">
        <v>327</v>
      </c>
    </row>
    <row r="3" spans="1:16" x14ac:dyDescent="0.25">
      <c r="A3" s="1">
        <v>15</v>
      </c>
      <c r="B3" s="2">
        <v>44950</v>
      </c>
      <c r="C3">
        <v>0</v>
      </c>
      <c r="D3">
        <v>69790</v>
      </c>
      <c r="E3">
        <v>69791</v>
      </c>
      <c r="F3">
        <v>69364</v>
      </c>
      <c r="G3">
        <v>69570</v>
      </c>
      <c r="H3">
        <v>658238</v>
      </c>
      <c r="I3">
        <v>1207.4100000000001</v>
      </c>
      <c r="J3">
        <v>0</v>
      </c>
      <c r="K3">
        <v>1</v>
      </c>
      <c r="L3">
        <v>422</v>
      </c>
      <c r="M3">
        <v>845</v>
      </c>
      <c r="N3">
        <v>-233</v>
      </c>
      <c r="O3">
        <v>0</v>
      </c>
      <c r="P3">
        <v>-233</v>
      </c>
    </row>
    <row r="4" spans="1:16" x14ac:dyDescent="0.25">
      <c r="A4" s="1">
        <v>16</v>
      </c>
      <c r="B4" s="2">
        <v>44951</v>
      </c>
      <c r="C4">
        <v>0</v>
      </c>
      <c r="D4">
        <v>69570</v>
      </c>
      <c r="E4">
        <v>69987</v>
      </c>
      <c r="F4">
        <v>69421</v>
      </c>
      <c r="G4">
        <v>69857</v>
      </c>
      <c r="H4">
        <v>767748</v>
      </c>
      <c r="I4">
        <v>1161.5899999999999</v>
      </c>
      <c r="J4">
        <v>1</v>
      </c>
      <c r="K4">
        <v>0</v>
      </c>
      <c r="L4">
        <v>402</v>
      </c>
      <c r="M4">
        <v>805</v>
      </c>
      <c r="N4">
        <v>0</v>
      </c>
      <c r="O4">
        <v>-230</v>
      </c>
      <c r="P4">
        <v>-230</v>
      </c>
    </row>
    <row r="5" spans="1:16" x14ac:dyDescent="0.25">
      <c r="A5" s="1">
        <v>17</v>
      </c>
      <c r="B5" s="2">
        <v>44952</v>
      </c>
      <c r="C5">
        <v>0</v>
      </c>
      <c r="D5">
        <v>69857</v>
      </c>
      <c r="E5">
        <v>70266</v>
      </c>
      <c r="F5">
        <v>69276</v>
      </c>
      <c r="G5">
        <v>69670</v>
      </c>
      <c r="H5">
        <v>1189573</v>
      </c>
      <c r="I5">
        <v>1149.33</v>
      </c>
      <c r="J5">
        <v>0</v>
      </c>
      <c r="K5">
        <v>1</v>
      </c>
      <c r="L5">
        <v>387</v>
      </c>
      <c r="M5">
        <v>774</v>
      </c>
      <c r="N5">
        <v>-242</v>
      </c>
      <c r="O5">
        <v>0</v>
      </c>
      <c r="P5">
        <v>-242</v>
      </c>
    </row>
    <row r="6" spans="1:16" x14ac:dyDescent="0.25">
      <c r="A6" s="1">
        <v>18</v>
      </c>
      <c r="B6" s="2">
        <v>44953</v>
      </c>
      <c r="C6">
        <v>0</v>
      </c>
      <c r="D6">
        <v>69675</v>
      </c>
      <c r="E6">
        <v>70175</v>
      </c>
      <c r="F6">
        <v>69649</v>
      </c>
      <c r="G6">
        <v>70050</v>
      </c>
      <c r="H6">
        <v>821428</v>
      </c>
      <c r="I6">
        <v>1104.81</v>
      </c>
      <c r="J6">
        <v>1</v>
      </c>
      <c r="K6">
        <v>0</v>
      </c>
      <c r="L6">
        <v>383</v>
      </c>
      <c r="M6">
        <v>766</v>
      </c>
      <c r="N6">
        <v>0</v>
      </c>
      <c r="O6">
        <v>-382</v>
      </c>
      <c r="P6">
        <v>-382</v>
      </c>
    </row>
    <row r="7" spans="1:16" x14ac:dyDescent="0.25">
      <c r="A7" s="1">
        <v>19</v>
      </c>
      <c r="B7" s="2">
        <v>44956</v>
      </c>
      <c r="C7">
        <v>0</v>
      </c>
      <c r="D7">
        <v>70069</v>
      </c>
      <c r="E7">
        <v>71320</v>
      </c>
      <c r="F7">
        <v>69911</v>
      </c>
      <c r="G7">
        <v>71304</v>
      </c>
      <c r="H7">
        <v>898051</v>
      </c>
      <c r="I7">
        <v>1126.54</v>
      </c>
      <c r="J7">
        <v>1</v>
      </c>
      <c r="K7">
        <v>1</v>
      </c>
      <c r="L7">
        <v>368</v>
      </c>
      <c r="M7">
        <v>737</v>
      </c>
      <c r="N7">
        <v>737</v>
      </c>
      <c r="O7">
        <v>0</v>
      </c>
      <c r="P7">
        <v>737</v>
      </c>
    </row>
    <row r="8" spans="1:16" x14ac:dyDescent="0.25">
      <c r="A8" s="1">
        <v>20</v>
      </c>
      <c r="B8" s="2">
        <v>44957</v>
      </c>
      <c r="C8">
        <v>0</v>
      </c>
      <c r="D8">
        <v>71314</v>
      </c>
      <c r="E8">
        <v>71525</v>
      </c>
      <c r="F8">
        <v>70555</v>
      </c>
      <c r="G8">
        <v>70597</v>
      </c>
      <c r="H8">
        <v>1274234</v>
      </c>
      <c r="I8">
        <v>1115.3599999999999</v>
      </c>
      <c r="J8">
        <v>0</v>
      </c>
      <c r="K8">
        <v>1</v>
      </c>
      <c r="L8">
        <v>376</v>
      </c>
      <c r="M8">
        <v>751</v>
      </c>
      <c r="N8">
        <v>376</v>
      </c>
      <c r="O8">
        <v>0</v>
      </c>
      <c r="P8">
        <v>376</v>
      </c>
    </row>
    <row r="9" spans="1:16" x14ac:dyDescent="0.25">
      <c r="A9" s="1">
        <v>21</v>
      </c>
      <c r="B9" s="2">
        <v>44958</v>
      </c>
      <c r="C9">
        <v>0</v>
      </c>
      <c r="D9">
        <v>70599</v>
      </c>
      <c r="E9">
        <v>71103</v>
      </c>
      <c r="F9">
        <v>70505</v>
      </c>
      <c r="G9">
        <v>70610</v>
      </c>
      <c r="H9">
        <v>781263</v>
      </c>
      <c r="I9">
        <v>1078.4000000000001</v>
      </c>
      <c r="J9">
        <v>1</v>
      </c>
      <c r="K9">
        <v>0</v>
      </c>
      <c r="L9">
        <v>372</v>
      </c>
      <c r="M9">
        <v>744</v>
      </c>
      <c r="N9">
        <v>0</v>
      </c>
      <c r="O9">
        <v>-109</v>
      </c>
      <c r="P9">
        <v>-109</v>
      </c>
    </row>
    <row r="10" spans="1:16" x14ac:dyDescent="0.25">
      <c r="A10" s="1">
        <v>22</v>
      </c>
      <c r="B10" s="2">
        <v>44959</v>
      </c>
      <c r="C10">
        <v>0</v>
      </c>
      <c r="D10">
        <v>70620</v>
      </c>
      <c r="E10">
        <v>71293</v>
      </c>
      <c r="F10">
        <v>70383</v>
      </c>
      <c r="G10">
        <v>70973</v>
      </c>
      <c r="H10">
        <v>849914</v>
      </c>
      <c r="I10">
        <v>1066.3699999999999</v>
      </c>
      <c r="J10">
        <v>1</v>
      </c>
      <c r="K10">
        <v>1</v>
      </c>
      <c r="L10">
        <v>359</v>
      </c>
      <c r="M10">
        <v>719</v>
      </c>
      <c r="N10">
        <v>234</v>
      </c>
      <c r="O10">
        <v>0</v>
      </c>
      <c r="P10">
        <v>234</v>
      </c>
    </row>
    <row r="11" spans="1:16" x14ac:dyDescent="0.25">
      <c r="A11" s="1">
        <v>23</v>
      </c>
      <c r="B11" s="2">
        <v>44960</v>
      </c>
      <c r="C11">
        <v>0</v>
      </c>
      <c r="D11">
        <v>70974</v>
      </c>
      <c r="E11">
        <v>71563</v>
      </c>
      <c r="F11">
        <v>70907</v>
      </c>
      <c r="G11">
        <v>71312</v>
      </c>
      <c r="H11">
        <v>916534</v>
      </c>
      <c r="I11">
        <v>1037.06</v>
      </c>
      <c r="J11">
        <v>1</v>
      </c>
      <c r="K11">
        <v>1</v>
      </c>
      <c r="L11">
        <v>355</v>
      </c>
      <c r="M11">
        <v>711</v>
      </c>
      <c r="N11">
        <v>356</v>
      </c>
      <c r="O11">
        <v>0</v>
      </c>
      <c r="P11">
        <v>356</v>
      </c>
    </row>
    <row r="12" spans="1:16" x14ac:dyDescent="0.25">
      <c r="A12" s="1">
        <v>24</v>
      </c>
      <c r="B12" s="2">
        <v>44963</v>
      </c>
      <c r="C12">
        <v>0</v>
      </c>
      <c r="D12">
        <v>71340</v>
      </c>
      <c r="E12">
        <v>71834</v>
      </c>
      <c r="F12">
        <v>71001</v>
      </c>
      <c r="G12">
        <v>71796</v>
      </c>
      <c r="H12">
        <v>638451</v>
      </c>
      <c r="I12">
        <v>1022.49</v>
      </c>
      <c r="J12">
        <v>1</v>
      </c>
      <c r="K12">
        <v>1</v>
      </c>
      <c r="L12">
        <v>346</v>
      </c>
      <c r="M12">
        <v>691</v>
      </c>
      <c r="N12">
        <v>449</v>
      </c>
      <c r="O12">
        <v>0</v>
      </c>
      <c r="P12">
        <v>449</v>
      </c>
    </row>
    <row r="13" spans="1:16" x14ac:dyDescent="0.25">
      <c r="A13" s="1">
        <v>25</v>
      </c>
      <c r="B13" s="2">
        <v>44964</v>
      </c>
      <c r="C13">
        <v>0</v>
      </c>
      <c r="D13">
        <v>71785</v>
      </c>
      <c r="E13">
        <v>71909</v>
      </c>
      <c r="F13">
        <v>71338</v>
      </c>
      <c r="G13">
        <v>71450</v>
      </c>
      <c r="H13">
        <v>723791</v>
      </c>
      <c r="I13">
        <v>990.24</v>
      </c>
      <c r="J13">
        <v>0</v>
      </c>
      <c r="K13">
        <v>1</v>
      </c>
      <c r="L13">
        <v>341</v>
      </c>
      <c r="M13">
        <v>682</v>
      </c>
      <c r="N13">
        <v>-306</v>
      </c>
      <c r="O13">
        <v>0</v>
      </c>
      <c r="P13">
        <v>-306</v>
      </c>
    </row>
    <row r="14" spans="1:16" x14ac:dyDescent="0.25">
      <c r="A14" s="1">
        <v>26</v>
      </c>
      <c r="B14" s="2">
        <v>44965</v>
      </c>
      <c r="C14">
        <v>0</v>
      </c>
      <c r="D14">
        <v>71466</v>
      </c>
      <c r="E14">
        <v>72778</v>
      </c>
      <c r="F14">
        <v>71466</v>
      </c>
      <c r="G14">
        <v>72750</v>
      </c>
      <c r="H14">
        <v>1147927</v>
      </c>
      <c r="I14">
        <v>1014.36</v>
      </c>
      <c r="J14">
        <v>1</v>
      </c>
      <c r="K14">
        <v>0</v>
      </c>
      <c r="L14">
        <v>330</v>
      </c>
      <c r="M14">
        <v>660</v>
      </c>
      <c r="N14">
        <v>0</v>
      </c>
      <c r="O14">
        <v>330</v>
      </c>
      <c r="P14">
        <v>330</v>
      </c>
    </row>
    <row r="15" spans="1:16" x14ac:dyDescent="0.25">
      <c r="A15" s="1">
        <v>27</v>
      </c>
      <c r="B15" s="2">
        <v>44966</v>
      </c>
      <c r="C15">
        <v>0</v>
      </c>
      <c r="D15">
        <v>72770</v>
      </c>
      <c r="E15">
        <v>73485</v>
      </c>
      <c r="F15">
        <v>72703</v>
      </c>
      <c r="G15">
        <v>72950</v>
      </c>
      <c r="H15">
        <v>1311020</v>
      </c>
      <c r="I15">
        <v>997.77</v>
      </c>
      <c r="J15">
        <v>1</v>
      </c>
      <c r="K15">
        <v>1</v>
      </c>
      <c r="L15">
        <v>338</v>
      </c>
      <c r="M15">
        <v>676</v>
      </c>
      <c r="N15">
        <v>179</v>
      </c>
      <c r="O15">
        <v>0</v>
      </c>
      <c r="P15">
        <v>179</v>
      </c>
    </row>
    <row r="16" spans="1:16" x14ac:dyDescent="0.25">
      <c r="A16" s="1">
        <v>28</v>
      </c>
      <c r="B16" s="2">
        <v>44967</v>
      </c>
      <c r="C16">
        <v>0</v>
      </c>
      <c r="D16">
        <v>72925</v>
      </c>
      <c r="E16">
        <v>73340</v>
      </c>
      <c r="F16">
        <v>72327</v>
      </c>
      <c r="G16">
        <v>72799</v>
      </c>
      <c r="H16">
        <v>1294437</v>
      </c>
      <c r="I16">
        <v>998.85</v>
      </c>
      <c r="J16">
        <v>0</v>
      </c>
      <c r="K16">
        <v>1</v>
      </c>
      <c r="L16">
        <v>333</v>
      </c>
      <c r="M16">
        <v>665</v>
      </c>
      <c r="N16">
        <v>114</v>
      </c>
      <c r="O16">
        <v>0</v>
      </c>
      <c r="P16">
        <v>114</v>
      </c>
    </row>
    <row r="17" spans="1:16" x14ac:dyDescent="0.25">
      <c r="A17" s="1">
        <v>29</v>
      </c>
      <c r="B17" s="2">
        <v>44970</v>
      </c>
      <c r="C17">
        <v>0</v>
      </c>
      <c r="D17">
        <v>72821</v>
      </c>
      <c r="E17">
        <v>73400</v>
      </c>
      <c r="F17">
        <v>72776</v>
      </c>
      <c r="G17">
        <v>73094</v>
      </c>
      <c r="H17">
        <v>1027257</v>
      </c>
      <c r="I17">
        <v>972.08</v>
      </c>
      <c r="J17">
        <v>1</v>
      </c>
      <c r="K17">
        <v>0</v>
      </c>
      <c r="L17">
        <v>333</v>
      </c>
      <c r="M17">
        <v>666</v>
      </c>
      <c r="N17">
        <v>0</v>
      </c>
      <c r="O17">
        <v>-260</v>
      </c>
      <c r="P17">
        <v>-260</v>
      </c>
    </row>
    <row r="18" spans="1:16" x14ac:dyDescent="0.25">
      <c r="A18" s="1">
        <v>30</v>
      </c>
      <c r="B18" s="2">
        <v>44971</v>
      </c>
      <c r="C18">
        <v>0</v>
      </c>
      <c r="D18">
        <v>73119</v>
      </c>
      <c r="E18">
        <v>73467</v>
      </c>
      <c r="F18">
        <v>72077</v>
      </c>
      <c r="G18">
        <v>72850</v>
      </c>
      <c r="H18">
        <v>1276179</v>
      </c>
      <c r="I18">
        <v>1001.93</v>
      </c>
      <c r="J18">
        <v>0</v>
      </c>
      <c r="K18">
        <v>1</v>
      </c>
      <c r="L18">
        <v>324</v>
      </c>
      <c r="M18">
        <v>648</v>
      </c>
      <c r="N18">
        <v>-309</v>
      </c>
      <c r="O18">
        <v>0</v>
      </c>
      <c r="P18">
        <v>-309</v>
      </c>
    </row>
    <row r="19" spans="1:16" x14ac:dyDescent="0.25">
      <c r="A19" s="1">
        <v>31</v>
      </c>
      <c r="B19" s="2">
        <v>44972</v>
      </c>
      <c r="C19">
        <v>0</v>
      </c>
      <c r="D19">
        <v>72891</v>
      </c>
      <c r="E19">
        <v>73716</v>
      </c>
      <c r="F19">
        <v>72824</v>
      </c>
      <c r="G19">
        <v>73510</v>
      </c>
      <c r="H19">
        <v>1221564</v>
      </c>
      <c r="I19">
        <v>994.08</v>
      </c>
      <c r="J19">
        <v>1</v>
      </c>
      <c r="K19">
        <v>0</v>
      </c>
      <c r="L19">
        <v>334</v>
      </c>
      <c r="M19">
        <v>668</v>
      </c>
      <c r="N19">
        <v>0</v>
      </c>
      <c r="O19">
        <v>-593</v>
      </c>
      <c r="P19">
        <v>-593</v>
      </c>
    </row>
    <row r="20" spans="1:16" x14ac:dyDescent="0.25">
      <c r="A20" s="1">
        <v>32</v>
      </c>
      <c r="B20" s="2">
        <v>44973</v>
      </c>
      <c r="C20">
        <v>0</v>
      </c>
      <c r="D20">
        <v>73510</v>
      </c>
      <c r="E20">
        <v>74674</v>
      </c>
      <c r="F20">
        <v>73433</v>
      </c>
      <c r="G20">
        <v>74200</v>
      </c>
      <c r="H20">
        <v>1471773</v>
      </c>
      <c r="I20">
        <v>1011.72</v>
      </c>
      <c r="J20">
        <v>1</v>
      </c>
      <c r="K20">
        <v>1</v>
      </c>
      <c r="L20">
        <v>331</v>
      </c>
      <c r="M20">
        <v>663</v>
      </c>
      <c r="N20">
        <v>663</v>
      </c>
      <c r="O20">
        <v>0</v>
      </c>
      <c r="P20">
        <v>663</v>
      </c>
    </row>
    <row r="21" spans="1:16" x14ac:dyDescent="0.25">
      <c r="A21" s="1">
        <v>33</v>
      </c>
      <c r="B21" s="2">
        <v>44974</v>
      </c>
      <c r="C21">
        <v>0</v>
      </c>
      <c r="D21">
        <v>74200</v>
      </c>
      <c r="E21">
        <v>74567</v>
      </c>
      <c r="F21">
        <v>73050</v>
      </c>
      <c r="G21">
        <v>73118</v>
      </c>
      <c r="H21">
        <v>2143419</v>
      </c>
      <c r="I21">
        <v>1047.81</v>
      </c>
      <c r="J21">
        <v>0</v>
      </c>
      <c r="K21">
        <v>1</v>
      </c>
      <c r="L21">
        <v>337</v>
      </c>
      <c r="M21">
        <v>674</v>
      </c>
      <c r="N21">
        <v>337</v>
      </c>
      <c r="O21">
        <v>0</v>
      </c>
      <c r="P21">
        <v>337</v>
      </c>
    </row>
    <row r="22" spans="1:16" x14ac:dyDescent="0.25">
      <c r="A22" s="1">
        <v>34</v>
      </c>
      <c r="B22" s="2">
        <v>44977</v>
      </c>
      <c r="C22">
        <v>0</v>
      </c>
      <c r="D22">
        <v>73075</v>
      </c>
      <c r="E22">
        <v>74328</v>
      </c>
      <c r="F22">
        <v>72560</v>
      </c>
      <c r="G22">
        <v>74221</v>
      </c>
      <c r="H22">
        <v>1274366</v>
      </c>
      <c r="I22">
        <v>1099.25</v>
      </c>
      <c r="J22">
        <v>1</v>
      </c>
      <c r="K22">
        <v>0</v>
      </c>
      <c r="L22">
        <v>349</v>
      </c>
      <c r="M22">
        <v>699</v>
      </c>
      <c r="N22">
        <v>0</v>
      </c>
      <c r="O22">
        <v>349</v>
      </c>
      <c r="P22">
        <v>349</v>
      </c>
    </row>
    <row r="23" spans="1:16" x14ac:dyDescent="0.25">
      <c r="A23" s="1">
        <v>35</v>
      </c>
      <c r="B23" s="2">
        <v>44978</v>
      </c>
      <c r="C23">
        <v>0</v>
      </c>
      <c r="D23">
        <v>74212</v>
      </c>
      <c r="E23">
        <v>74459</v>
      </c>
      <c r="F23">
        <v>73400</v>
      </c>
      <c r="G23">
        <v>74181</v>
      </c>
      <c r="H23">
        <v>1147529</v>
      </c>
      <c r="I23">
        <v>1096.3699999999999</v>
      </c>
      <c r="J23">
        <v>0</v>
      </c>
      <c r="K23">
        <v>1</v>
      </c>
      <c r="L23">
        <v>366</v>
      </c>
      <c r="M23">
        <v>733</v>
      </c>
      <c r="N23">
        <v>-104</v>
      </c>
      <c r="O23">
        <v>0</v>
      </c>
      <c r="P23">
        <v>-104</v>
      </c>
    </row>
    <row r="24" spans="1:16" x14ac:dyDescent="0.25">
      <c r="A24" s="1">
        <v>36</v>
      </c>
      <c r="B24" s="2">
        <v>44979</v>
      </c>
      <c r="C24">
        <v>0</v>
      </c>
      <c r="D24">
        <v>74181</v>
      </c>
      <c r="E24">
        <v>74777</v>
      </c>
      <c r="F24">
        <v>73686</v>
      </c>
      <c r="G24">
        <v>74636</v>
      </c>
      <c r="H24">
        <v>921377</v>
      </c>
      <c r="I24">
        <v>1095.99</v>
      </c>
      <c r="J24">
        <v>1</v>
      </c>
      <c r="K24">
        <v>0</v>
      </c>
      <c r="L24">
        <v>365</v>
      </c>
      <c r="M24">
        <v>731</v>
      </c>
      <c r="N24">
        <v>0</v>
      </c>
      <c r="O24">
        <v>-461</v>
      </c>
      <c r="P24">
        <v>-461</v>
      </c>
    </row>
    <row r="25" spans="1:16" x14ac:dyDescent="0.25">
      <c r="A25" s="1">
        <v>37</v>
      </c>
      <c r="B25" s="2">
        <v>44981</v>
      </c>
      <c r="C25">
        <v>0</v>
      </c>
      <c r="D25">
        <v>74648</v>
      </c>
      <c r="E25">
        <v>75784</v>
      </c>
      <c r="F25">
        <v>73973</v>
      </c>
      <c r="G25">
        <v>75576</v>
      </c>
      <c r="H25">
        <v>1068293</v>
      </c>
      <c r="I25">
        <v>1147.06</v>
      </c>
      <c r="J25">
        <v>1</v>
      </c>
      <c r="K25">
        <v>1</v>
      </c>
      <c r="L25">
        <v>365</v>
      </c>
      <c r="M25">
        <v>731</v>
      </c>
      <c r="N25">
        <v>731</v>
      </c>
      <c r="O25">
        <v>0</v>
      </c>
      <c r="P25">
        <v>731</v>
      </c>
    </row>
    <row r="26" spans="1:16" x14ac:dyDescent="0.25">
      <c r="A26" s="1">
        <v>38</v>
      </c>
      <c r="B26" s="2">
        <v>44984</v>
      </c>
      <c r="C26">
        <v>0</v>
      </c>
      <c r="D26">
        <v>75525</v>
      </c>
      <c r="E26">
        <v>75525</v>
      </c>
      <c r="F26">
        <v>73511</v>
      </c>
      <c r="G26">
        <v>73626</v>
      </c>
      <c r="H26">
        <v>1396546</v>
      </c>
      <c r="I26">
        <v>1212.6300000000001</v>
      </c>
      <c r="J26">
        <v>0</v>
      </c>
      <c r="K26">
        <v>1</v>
      </c>
      <c r="L26">
        <v>382</v>
      </c>
      <c r="M26">
        <v>765</v>
      </c>
      <c r="N26">
        <v>382</v>
      </c>
      <c r="O26">
        <v>0</v>
      </c>
      <c r="P26">
        <v>382</v>
      </c>
    </row>
    <row r="27" spans="1:16" x14ac:dyDescent="0.25">
      <c r="A27" s="1">
        <v>39</v>
      </c>
      <c r="B27" s="2">
        <v>44985</v>
      </c>
      <c r="C27">
        <v>0</v>
      </c>
      <c r="D27">
        <v>73610</v>
      </c>
      <c r="E27">
        <v>74364</v>
      </c>
      <c r="F27">
        <v>73161</v>
      </c>
      <c r="G27">
        <v>74226</v>
      </c>
      <c r="H27">
        <v>1337125</v>
      </c>
      <c r="I27">
        <v>1211.94</v>
      </c>
      <c r="J27">
        <v>1</v>
      </c>
      <c r="K27">
        <v>0</v>
      </c>
      <c r="L27">
        <v>404</v>
      </c>
      <c r="M27">
        <v>808</v>
      </c>
      <c r="N27">
        <v>0</v>
      </c>
      <c r="O27">
        <v>-562</v>
      </c>
      <c r="P27">
        <v>-562</v>
      </c>
    </row>
    <row r="28" spans="1:16" x14ac:dyDescent="0.25">
      <c r="A28" s="1">
        <v>40</v>
      </c>
      <c r="B28" s="2">
        <v>44986</v>
      </c>
      <c r="C28">
        <v>0</v>
      </c>
      <c r="D28">
        <v>74243</v>
      </c>
      <c r="E28">
        <v>74810</v>
      </c>
      <c r="F28">
        <v>74119</v>
      </c>
      <c r="G28">
        <v>74690</v>
      </c>
      <c r="H28">
        <v>1194562</v>
      </c>
      <c r="I28">
        <v>1174.73</v>
      </c>
      <c r="J28">
        <v>1</v>
      </c>
      <c r="K28">
        <v>1</v>
      </c>
      <c r="L28">
        <v>404</v>
      </c>
      <c r="M28">
        <v>808</v>
      </c>
      <c r="N28">
        <v>474</v>
      </c>
      <c r="O28">
        <v>0</v>
      </c>
      <c r="P28">
        <v>474</v>
      </c>
    </row>
    <row r="29" spans="1:16" x14ac:dyDescent="0.25">
      <c r="A29" s="1">
        <v>41</v>
      </c>
      <c r="B29" s="2">
        <v>44987</v>
      </c>
      <c r="C29">
        <v>0</v>
      </c>
      <c r="D29">
        <v>74728</v>
      </c>
      <c r="E29">
        <v>75414</v>
      </c>
      <c r="F29">
        <v>74728</v>
      </c>
      <c r="G29">
        <v>75093</v>
      </c>
      <c r="H29">
        <v>911429</v>
      </c>
      <c r="I29">
        <v>1142.54</v>
      </c>
      <c r="J29">
        <v>1</v>
      </c>
      <c r="K29">
        <v>1</v>
      </c>
      <c r="L29">
        <v>392</v>
      </c>
      <c r="M29">
        <v>783</v>
      </c>
      <c r="N29">
        <v>202</v>
      </c>
      <c r="O29">
        <v>0</v>
      </c>
      <c r="P29">
        <v>202</v>
      </c>
    </row>
    <row r="30" spans="1:16" x14ac:dyDescent="0.25">
      <c r="A30" s="1">
        <v>42</v>
      </c>
      <c r="B30" s="2">
        <v>44988</v>
      </c>
      <c r="C30">
        <v>0</v>
      </c>
      <c r="D30">
        <v>75094</v>
      </c>
      <c r="E30">
        <v>75380</v>
      </c>
      <c r="F30">
        <v>74614</v>
      </c>
      <c r="G30">
        <v>75209</v>
      </c>
      <c r="H30">
        <v>878501</v>
      </c>
      <c r="I30">
        <v>1115.6400000000001</v>
      </c>
      <c r="J30">
        <v>1</v>
      </c>
      <c r="K30">
        <v>1</v>
      </c>
      <c r="L30">
        <v>381</v>
      </c>
      <c r="M30">
        <v>762</v>
      </c>
      <c r="N30">
        <v>184</v>
      </c>
      <c r="O30">
        <v>0</v>
      </c>
      <c r="P30">
        <v>184</v>
      </c>
    </row>
    <row r="31" spans="1:16" x14ac:dyDescent="0.25">
      <c r="A31" s="1">
        <v>43</v>
      </c>
      <c r="B31" s="2">
        <v>44991</v>
      </c>
      <c r="C31">
        <v>0</v>
      </c>
      <c r="D31">
        <v>75220</v>
      </c>
      <c r="E31">
        <v>75635</v>
      </c>
      <c r="F31">
        <v>74731</v>
      </c>
      <c r="G31">
        <v>75084</v>
      </c>
      <c r="H31">
        <v>1038241</v>
      </c>
      <c r="I31">
        <v>1100.52</v>
      </c>
      <c r="J31">
        <v>0</v>
      </c>
      <c r="K31">
        <v>1</v>
      </c>
      <c r="L31">
        <v>372</v>
      </c>
      <c r="M31">
        <v>744</v>
      </c>
      <c r="N31">
        <v>-95</v>
      </c>
      <c r="O31">
        <v>0</v>
      </c>
      <c r="P31">
        <v>-95</v>
      </c>
    </row>
    <row r="32" spans="1:16" x14ac:dyDescent="0.25">
      <c r="A32" s="1">
        <v>44</v>
      </c>
      <c r="B32" s="2">
        <v>44992</v>
      </c>
      <c r="C32">
        <v>0</v>
      </c>
      <c r="D32">
        <v>75084</v>
      </c>
      <c r="E32">
        <v>75990</v>
      </c>
      <c r="F32">
        <v>74808</v>
      </c>
      <c r="G32">
        <v>75830</v>
      </c>
      <c r="H32">
        <v>888399</v>
      </c>
      <c r="I32">
        <v>1106.3399999999999</v>
      </c>
      <c r="J32">
        <v>1</v>
      </c>
      <c r="K32">
        <v>0</v>
      </c>
      <c r="L32">
        <v>367</v>
      </c>
      <c r="M32">
        <v>734</v>
      </c>
      <c r="N32">
        <v>0</v>
      </c>
      <c r="O32">
        <v>367</v>
      </c>
      <c r="P32">
        <v>367</v>
      </c>
    </row>
    <row r="33" spans="1:16" x14ac:dyDescent="0.25">
      <c r="A33" s="1">
        <v>45</v>
      </c>
      <c r="B33" s="2">
        <v>44994</v>
      </c>
      <c r="C33">
        <v>0</v>
      </c>
      <c r="D33">
        <v>75831</v>
      </c>
      <c r="E33">
        <v>75902</v>
      </c>
      <c r="F33">
        <v>75451</v>
      </c>
      <c r="G33">
        <v>75720</v>
      </c>
      <c r="H33">
        <v>787038</v>
      </c>
      <c r="I33">
        <v>1059.53</v>
      </c>
      <c r="J33">
        <v>0</v>
      </c>
      <c r="K33">
        <v>1</v>
      </c>
      <c r="L33">
        <v>369</v>
      </c>
      <c r="M33">
        <v>738</v>
      </c>
      <c r="N33">
        <v>-137</v>
      </c>
      <c r="O33">
        <v>0</v>
      </c>
      <c r="P33">
        <v>-137</v>
      </c>
    </row>
    <row r="34" spans="1:16" x14ac:dyDescent="0.25">
      <c r="A34" s="1">
        <v>46</v>
      </c>
      <c r="B34" s="2">
        <v>44995</v>
      </c>
      <c r="C34">
        <v>0</v>
      </c>
      <c r="D34">
        <v>75711</v>
      </c>
      <c r="E34">
        <v>76098</v>
      </c>
      <c r="F34">
        <v>75711</v>
      </c>
      <c r="G34">
        <v>76000</v>
      </c>
      <c r="H34">
        <v>771027</v>
      </c>
      <c r="I34">
        <v>1011.5</v>
      </c>
      <c r="J34">
        <v>1</v>
      </c>
      <c r="K34">
        <v>0</v>
      </c>
      <c r="L34">
        <v>353</v>
      </c>
      <c r="M34">
        <v>706</v>
      </c>
      <c r="N34">
        <v>0</v>
      </c>
      <c r="O34">
        <v>-263</v>
      </c>
      <c r="P34">
        <v>-263</v>
      </c>
    </row>
    <row r="35" spans="1:16" x14ac:dyDescent="0.25">
      <c r="A35" s="1">
        <v>47</v>
      </c>
      <c r="B35" s="2">
        <v>44998</v>
      </c>
      <c r="C35">
        <v>0</v>
      </c>
      <c r="D35">
        <v>75998</v>
      </c>
      <c r="E35">
        <v>75998</v>
      </c>
      <c r="F35">
        <v>74772</v>
      </c>
      <c r="G35">
        <v>74860</v>
      </c>
      <c r="H35">
        <v>1489886</v>
      </c>
      <c r="I35">
        <v>1026.96</v>
      </c>
      <c r="J35">
        <v>0</v>
      </c>
      <c r="K35">
        <v>1</v>
      </c>
      <c r="L35">
        <v>337</v>
      </c>
      <c r="M35">
        <v>674</v>
      </c>
      <c r="N35">
        <v>337</v>
      </c>
      <c r="O35">
        <v>0</v>
      </c>
      <c r="P35">
        <v>337</v>
      </c>
    </row>
    <row r="36" spans="1:16" x14ac:dyDescent="0.25">
      <c r="A36" s="1">
        <v>48</v>
      </c>
      <c r="B36" s="2">
        <v>44999</v>
      </c>
      <c r="C36">
        <v>0</v>
      </c>
      <c r="D36">
        <v>74868</v>
      </c>
      <c r="E36">
        <v>75560</v>
      </c>
      <c r="F36">
        <v>74868</v>
      </c>
      <c r="G36">
        <v>75467</v>
      </c>
      <c r="H36">
        <v>877735</v>
      </c>
      <c r="I36">
        <v>1003.61</v>
      </c>
      <c r="J36">
        <v>1</v>
      </c>
      <c r="K36">
        <v>0</v>
      </c>
      <c r="L36">
        <v>342</v>
      </c>
      <c r="M36">
        <v>685</v>
      </c>
      <c r="N36">
        <v>0</v>
      </c>
      <c r="O36">
        <v>-563</v>
      </c>
      <c r="P36">
        <v>-563</v>
      </c>
    </row>
    <row r="37" spans="1:16" x14ac:dyDescent="0.25">
      <c r="A37" s="1">
        <v>49</v>
      </c>
      <c r="B37" s="2">
        <v>45000</v>
      </c>
      <c r="C37">
        <v>0</v>
      </c>
      <c r="D37">
        <v>75156</v>
      </c>
      <c r="E37">
        <v>75844</v>
      </c>
      <c r="F37">
        <v>75030</v>
      </c>
      <c r="G37">
        <v>75700</v>
      </c>
      <c r="H37">
        <v>568509</v>
      </c>
      <c r="I37">
        <v>990.06</v>
      </c>
      <c r="J37">
        <v>1</v>
      </c>
      <c r="K37">
        <v>1</v>
      </c>
      <c r="L37">
        <v>335</v>
      </c>
      <c r="M37">
        <v>669</v>
      </c>
      <c r="N37">
        <v>548</v>
      </c>
      <c r="O37">
        <v>0</v>
      </c>
      <c r="P37">
        <v>548</v>
      </c>
    </row>
    <row r="38" spans="1:16" x14ac:dyDescent="0.25">
      <c r="A38" s="1">
        <v>50</v>
      </c>
      <c r="B38" s="2">
        <v>45001</v>
      </c>
      <c r="C38">
        <v>0</v>
      </c>
      <c r="D38">
        <v>75749</v>
      </c>
      <c r="E38">
        <v>76629</v>
      </c>
      <c r="F38">
        <v>75177</v>
      </c>
      <c r="G38">
        <v>76340</v>
      </c>
      <c r="H38">
        <v>1816382</v>
      </c>
      <c r="I38">
        <v>1023.06</v>
      </c>
      <c r="J38">
        <v>1</v>
      </c>
      <c r="K38">
        <v>1</v>
      </c>
      <c r="L38">
        <v>330</v>
      </c>
      <c r="M38">
        <v>660</v>
      </c>
      <c r="N38">
        <v>597</v>
      </c>
      <c r="O38">
        <v>0</v>
      </c>
      <c r="P38">
        <v>597</v>
      </c>
    </row>
    <row r="39" spans="1:16" x14ac:dyDescent="0.25">
      <c r="A39" s="1">
        <v>51</v>
      </c>
      <c r="B39" s="2">
        <v>45002</v>
      </c>
      <c r="C39">
        <v>0</v>
      </c>
      <c r="D39">
        <v>76330</v>
      </c>
      <c r="E39">
        <v>76963</v>
      </c>
      <c r="F39">
        <v>75965</v>
      </c>
      <c r="G39">
        <v>76787</v>
      </c>
      <c r="H39">
        <v>1622152</v>
      </c>
      <c r="I39">
        <v>1021.27</v>
      </c>
      <c r="J39">
        <v>1</v>
      </c>
      <c r="K39">
        <v>1</v>
      </c>
      <c r="L39">
        <v>341</v>
      </c>
      <c r="M39">
        <v>682</v>
      </c>
      <c r="N39">
        <v>490</v>
      </c>
      <c r="O39">
        <v>0</v>
      </c>
      <c r="P39">
        <v>490</v>
      </c>
    </row>
    <row r="40" spans="1:16" x14ac:dyDescent="0.25">
      <c r="A40" s="1">
        <v>52</v>
      </c>
      <c r="B40" s="2">
        <v>45005</v>
      </c>
      <c r="C40">
        <v>0</v>
      </c>
      <c r="D40">
        <v>76763</v>
      </c>
      <c r="E40">
        <v>77633</v>
      </c>
      <c r="F40">
        <v>76520</v>
      </c>
      <c r="G40">
        <v>77090</v>
      </c>
      <c r="H40">
        <v>1221472</v>
      </c>
      <c r="I40">
        <v>1027.82</v>
      </c>
      <c r="J40">
        <v>1</v>
      </c>
      <c r="K40">
        <v>1</v>
      </c>
      <c r="L40">
        <v>340</v>
      </c>
      <c r="M40">
        <v>681</v>
      </c>
      <c r="N40">
        <v>372</v>
      </c>
      <c r="O40">
        <v>0</v>
      </c>
      <c r="P40">
        <v>372</v>
      </c>
    </row>
    <row r="41" spans="1:16" x14ac:dyDescent="0.25">
      <c r="A41" s="1">
        <v>53</v>
      </c>
      <c r="B41" s="2">
        <v>45006</v>
      </c>
      <c r="C41">
        <v>0</v>
      </c>
      <c r="D41">
        <v>77097</v>
      </c>
      <c r="E41">
        <v>77438</v>
      </c>
      <c r="F41">
        <v>76624</v>
      </c>
      <c r="G41">
        <v>76691</v>
      </c>
      <c r="H41">
        <v>794417</v>
      </c>
      <c r="I41">
        <v>1012.55</v>
      </c>
      <c r="J41">
        <v>0</v>
      </c>
      <c r="K41">
        <v>1</v>
      </c>
      <c r="L41">
        <v>343</v>
      </c>
      <c r="M41">
        <v>685</v>
      </c>
      <c r="N41">
        <v>343</v>
      </c>
      <c r="O41">
        <v>0</v>
      </c>
      <c r="P41">
        <v>343</v>
      </c>
    </row>
    <row r="42" spans="1:16" x14ac:dyDescent="0.25">
      <c r="A42" s="1">
        <v>54</v>
      </c>
      <c r="B42" s="2">
        <v>45007</v>
      </c>
      <c r="C42">
        <v>0</v>
      </c>
      <c r="D42">
        <v>76705</v>
      </c>
      <c r="E42">
        <v>77503</v>
      </c>
      <c r="F42">
        <v>76600</v>
      </c>
      <c r="G42">
        <v>77319</v>
      </c>
      <c r="H42">
        <v>855766</v>
      </c>
      <c r="I42">
        <v>1004.72</v>
      </c>
      <c r="J42">
        <v>1</v>
      </c>
      <c r="K42">
        <v>0</v>
      </c>
      <c r="L42">
        <v>338</v>
      </c>
      <c r="M42">
        <v>675</v>
      </c>
      <c r="N42">
        <v>0</v>
      </c>
      <c r="O42">
        <v>-565</v>
      </c>
      <c r="P42">
        <v>-565</v>
      </c>
    </row>
    <row r="43" spans="1:16" x14ac:dyDescent="0.25">
      <c r="A43" s="1">
        <v>55</v>
      </c>
      <c r="B43" s="2">
        <v>45008</v>
      </c>
      <c r="C43">
        <v>0</v>
      </c>
      <c r="D43">
        <v>77317</v>
      </c>
      <c r="E43">
        <v>77317</v>
      </c>
      <c r="F43">
        <v>75757</v>
      </c>
      <c r="G43">
        <v>76110</v>
      </c>
      <c r="H43">
        <v>1250036</v>
      </c>
      <c r="I43">
        <v>1044.53</v>
      </c>
      <c r="J43">
        <v>0</v>
      </c>
      <c r="K43">
        <v>1</v>
      </c>
      <c r="L43">
        <v>335</v>
      </c>
      <c r="M43">
        <v>670</v>
      </c>
      <c r="N43">
        <v>335</v>
      </c>
      <c r="O43">
        <v>0</v>
      </c>
      <c r="P43">
        <v>335</v>
      </c>
    </row>
    <row r="44" spans="1:16" x14ac:dyDescent="0.25">
      <c r="A44" s="1">
        <v>56</v>
      </c>
      <c r="B44" s="2">
        <v>45009</v>
      </c>
      <c r="C44">
        <v>0</v>
      </c>
      <c r="D44">
        <v>76120</v>
      </c>
      <c r="E44">
        <v>77147</v>
      </c>
      <c r="F44">
        <v>75900</v>
      </c>
      <c r="G44">
        <v>76961</v>
      </c>
      <c r="H44">
        <v>1278056</v>
      </c>
      <c r="I44">
        <v>1058.99</v>
      </c>
      <c r="J44">
        <v>1</v>
      </c>
      <c r="K44">
        <v>0</v>
      </c>
      <c r="L44">
        <v>348</v>
      </c>
      <c r="M44">
        <v>696</v>
      </c>
      <c r="N44">
        <v>0</v>
      </c>
      <c r="O44">
        <v>348</v>
      </c>
      <c r="P44">
        <v>348</v>
      </c>
    </row>
    <row r="45" spans="1:16" x14ac:dyDescent="0.25">
      <c r="A45" s="1">
        <v>57</v>
      </c>
      <c r="B45" s="2">
        <v>45012</v>
      </c>
      <c r="C45">
        <v>0</v>
      </c>
      <c r="D45">
        <v>76923</v>
      </c>
      <c r="E45">
        <v>76998</v>
      </c>
      <c r="F45">
        <v>76457</v>
      </c>
      <c r="G45">
        <v>76604</v>
      </c>
      <c r="H45">
        <v>785538</v>
      </c>
      <c r="I45">
        <v>1021.99</v>
      </c>
      <c r="J45">
        <v>0</v>
      </c>
      <c r="K45">
        <v>1</v>
      </c>
      <c r="L45">
        <v>353</v>
      </c>
      <c r="M45">
        <v>706</v>
      </c>
      <c r="N45">
        <v>-293</v>
      </c>
      <c r="O45">
        <v>0</v>
      </c>
      <c r="P45">
        <v>-293</v>
      </c>
    </row>
    <row r="46" spans="1:16" x14ac:dyDescent="0.25">
      <c r="A46" s="1">
        <v>58</v>
      </c>
      <c r="B46" s="2">
        <v>45013</v>
      </c>
      <c r="C46">
        <v>0</v>
      </c>
      <c r="D46">
        <v>76600</v>
      </c>
      <c r="E46">
        <v>77286</v>
      </c>
      <c r="F46">
        <v>76370</v>
      </c>
      <c r="G46">
        <v>77099</v>
      </c>
      <c r="H46">
        <v>723013</v>
      </c>
      <c r="I46">
        <v>1014.42</v>
      </c>
      <c r="J46">
        <v>1</v>
      </c>
      <c r="K46">
        <v>0</v>
      </c>
      <c r="L46">
        <v>341</v>
      </c>
      <c r="M46">
        <v>681</v>
      </c>
      <c r="N46">
        <v>0</v>
      </c>
      <c r="O46">
        <v>-511</v>
      </c>
      <c r="P46">
        <v>-511</v>
      </c>
    </row>
    <row r="47" spans="1:16" x14ac:dyDescent="0.25">
      <c r="A47" s="1">
        <v>59</v>
      </c>
      <c r="B47" s="2">
        <v>45014</v>
      </c>
      <c r="C47">
        <v>0</v>
      </c>
      <c r="D47">
        <v>77096</v>
      </c>
      <c r="E47">
        <v>77417</v>
      </c>
      <c r="F47">
        <v>76963</v>
      </c>
      <c r="G47">
        <v>77327</v>
      </c>
      <c r="H47">
        <v>566265</v>
      </c>
      <c r="I47">
        <v>974.39</v>
      </c>
      <c r="J47">
        <v>1</v>
      </c>
      <c r="K47">
        <v>1</v>
      </c>
      <c r="L47">
        <v>338</v>
      </c>
      <c r="M47">
        <v>676</v>
      </c>
      <c r="N47">
        <v>283</v>
      </c>
      <c r="O47">
        <v>0</v>
      </c>
      <c r="P47">
        <v>283</v>
      </c>
    </row>
    <row r="48" spans="1:16" x14ac:dyDescent="0.25">
      <c r="A48" s="1">
        <v>60</v>
      </c>
      <c r="B48" s="2">
        <v>45015</v>
      </c>
      <c r="C48">
        <v>0</v>
      </c>
      <c r="D48">
        <v>77326</v>
      </c>
      <c r="E48">
        <v>77567</v>
      </c>
      <c r="F48">
        <v>76853</v>
      </c>
      <c r="G48">
        <v>77375</v>
      </c>
      <c r="H48">
        <v>1080348</v>
      </c>
      <c r="I48">
        <v>955.79</v>
      </c>
      <c r="J48">
        <v>1</v>
      </c>
      <c r="K48">
        <v>1</v>
      </c>
      <c r="L48">
        <v>325</v>
      </c>
      <c r="M48">
        <v>650</v>
      </c>
      <c r="N48">
        <v>80</v>
      </c>
      <c r="O48">
        <v>0</v>
      </c>
      <c r="P48">
        <v>80</v>
      </c>
    </row>
    <row r="49" spans="1:16" x14ac:dyDescent="0.25">
      <c r="A49" s="1">
        <v>61</v>
      </c>
      <c r="B49" s="2">
        <v>45016</v>
      </c>
      <c r="C49">
        <v>0</v>
      </c>
      <c r="D49">
        <v>77370</v>
      </c>
      <c r="E49">
        <v>78235</v>
      </c>
      <c r="F49">
        <v>77293</v>
      </c>
      <c r="G49">
        <v>77806</v>
      </c>
      <c r="H49">
        <v>883275</v>
      </c>
      <c r="I49">
        <v>954.81</v>
      </c>
      <c r="J49">
        <v>1</v>
      </c>
      <c r="K49">
        <v>1</v>
      </c>
      <c r="L49">
        <v>319</v>
      </c>
      <c r="M49">
        <v>637</v>
      </c>
      <c r="N49">
        <v>456</v>
      </c>
      <c r="O49">
        <v>0</v>
      </c>
      <c r="P49">
        <v>456</v>
      </c>
    </row>
    <row r="50" spans="1:16" x14ac:dyDescent="0.25">
      <c r="A50" s="1">
        <v>62</v>
      </c>
      <c r="B50" s="2">
        <v>45019</v>
      </c>
      <c r="C50">
        <v>0</v>
      </c>
      <c r="D50">
        <v>77808</v>
      </c>
      <c r="E50">
        <v>78989</v>
      </c>
      <c r="F50">
        <v>77448</v>
      </c>
      <c r="G50">
        <v>78850</v>
      </c>
      <c r="H50">
        <v>834545</v>
      </c>
      <c r="I50">
        <v>996.68</v>
      </c>
      <c r="J50">
        <v>1</v>
      </c>
      <c r="K50">
        <v>1</v>
      </c>
      <c r="L50">
        <v>318</v>
      </c>
      <c r="M50">
        <v>637</v>
      </c>
      <c r="N50">
        <v>637</v>
      </c>
      <c r="O50">
        <v>0</v>
      </c>
      <c r="P50">
        <v>637</v>
      </c>
    </row>
    <row r="51" spans="1:16" x14ac:dyDescent="0.25">
      <c r="A51" s="1">
        <v>63</v>
      </c>
      <c r="B51" s="2">
        <v>45020</v>
      </c>
      <c r="C51">
        <v>0</v>
      </c>
      <c r="D51">
        <v>78860</v>
      </c>
      <c r="E51">
        <v>79777</v>
      </c>
      <c r="F51">
        <v>78860</v>
      </c>
      <c r="G51">
        <v>79688</v>
      </c>
      <c r="H51">
        <v>970056</v>
      </c>
      <c r="I51">
        <v>991.7</v>
      </c>
      <c r="J51">
        <v>1</v>
      </c>
      <c r="K51">
        <v>1</v>
      </c>
      <c r="L51">
        <v>332</v>
      </c>
      <c r="M51">
        <v>664</v>
      </c>
      <c r="N51">
        <v>664</v>
      </c>
      <c r="O51">
        <v>0</v>
      </c>
      <c r="P51">
        <v>664</v>
      </c>
    </row>
    <row r="52" spans="1:16" x14ac:dyDescent="0.25">
      <c r="A52" s="1">
        <v>64</v>
      </c>
      <c r="B52" s="2">
        <v>45021</v>
      </c>
      <c r="C52">
        <v>0</v>
      </c>
      <c r="D52">
        <v>79658</v>
      </c>
      <c r="E52">
        <v>80171</v>
      </c>
      <c r="F52">
        <v>79407</v>
      </c>
      <c r="G52">
        <v>80150</v>
      </c>
      <c r="H52">
        <v>770103</v>
      </c>
      <c r="I52">
        <v>975.44</v>
      </c>
      <c r="J52">
        <v>1</v>
      </c>
      <c r="K52">
        <v>1</v>
      </c>
      <c r="L52">
        <v>331</v>
      </c>
      <c r="M52">
        <v>661</v>
      </c>
      <c r="N52">
        <v>458</v>
      </c>
      <c r="O52">
        <v>0</v>
      </c>
      <c r="P52">
        <v>458</v>
      </c>
    </row>
    <row r="53" spans="1:16" x14ac:dyDescent="0.25">
      <c r="A53" s="1">
        <v>65</v>
      </c>
      <c r="B53" s="2">
        <v>45022</v>
      </c>
      <c r="C53">
        <v>0</v>
      </c>
      <c r="D53">
        <v>80150</v>
      </c>
      <c r="E53">
        <v>81790</v>
      </c>
      <c r="F53">
        <v>80112</v>
      </c>
      <c r="G53">
        <v>81720</v>
      </c>
      <c r="H53">
        <v>1128114</v>
      </c>
      <c r="I53">
        <v>1025.6199999999999</v>
      </c>
      <c r="J53">
        <v>1</v>
      </c>
      <c r="K53">
        <v>1</v>
      </c>
      <c r="L53">
        <v>325</v>
      </c>
      <c r="M53">
        <v>650</v>
      </c>
      <c r="N53">
        <v>650</v>
      </c>
      <c r="O53">
        <v>0</v>
      </c>
      <c r="P53">
        <v>650</v>
      </c>
    </row>
    <row r="54" spans="1:16" x14ac:dyDescent="0.25">
      <c r="A54" s="1">
        <v>66</v>
      </c>
      <c r="B54" s="2">
        <v>45023</v>
      </c>
      <c r="C54">
        <v>0</v>
      </c>
      <c r="D54">
        <v>81727</v>
      </c>
      <c r="E54">
        <v>83172</v>
      </c>
      <c r="F54">
        <v>80520</v>
      </c>
      <c r="G54">
        <v>81017</v>
      </c>
      <c r="H54">
        <v>2427761</v>
      </c>
      <c r="I54">
        <v>1141.79</v>
      </c>
      <c r="J54">
        <v>0</v>
      </c>
      <c r="K54">
        <v>1</v>
      </c>
      <c r="L54">
        <v>342</v>
      </c>
      <c r="M54">
        <v>684</v>
      </c>
      <c r="N54">
        <v>342</v>
      </c>
      <c r="O54">
        <v>0</v>
      </c>
      <c r="P54">
        <v>342</v>
      </c>
    </row>
    <row r="55" spans="1:16" x14ac:dyDescent="0.25">
      <c r="A55" s="1">
        <v>67</v>
      </c>
      <c r="B55" s="2">
        <v>45026</v>
      </c>
      <c r="C55">
        <v>0</v>
      </c>
      <c r="D55">
        <v>81025</v>
      </c>
      <c r="E55">
        <v>81745</v>
      </c>
      <c r="F55">
        <v>80613</v>
      </c>
      <c r="G55">
        <v>81395</v>
      </c>
      <c r="H55">
        <v>1700100</v>
      </c>
      <c r="I55">
        <v>1141.0899999999999</v>
      </c>
      <c r="J55">
        <v>1</v>
      </c>
      <c r="K55">
        <v>0</v>
      </c>
      <c r="L55">
        <v>381</v>
      </c>
      <c r="M55">
        <v>761</v>
      </c>
      <c r="N55">
        <v>0</v>
      </c>
      <c r="O55">
        <v>-323</v>
      </c>
      <c r="P55">
        <v>-323</v>
      </c>
    </row>
    <row r="56" spans="1:16" x14ac:dyDescent="0.25">
      <c r="A56" s="1">
        <v>68</v>
      </c>
      <c r="B56" s="2">
        <v>45027</v>
      </c>
      <c r="C56">
        <v>0</v>
      </c>
      <c r="D56">
        <v>81395</v>
      </c>
      <c r="E56">
        <v>82450</v>
      </c>
      <c r="F56">
        <v>81210</v>
      </c>
      <c r="G56">
        <v>82150</v>
      </c>
      <c r="H56">
        <v>944263</v>
      </c>
      <c r="I56">
        <v>1148.1500000000001</v>
      </c>
      <c r="J56">
        <v>1</v>
      </c>
      <c r="K56">
        <v>1</v>
      </c>
      <c r="L56">
        <v>380</v>
      </c>
      <c r="M56">
        <v>761</v>
      </c>
      <c r="N56">
        <v>672</v>
      </c>
      <c r="O56">
        <v>0</v>
      </c>
      <c r="P56">
        <v>672</v>
      </c>
    </row>
    <row r="57" spans="1:16" x14ac:dyDescent="0.25">
      <c r="A57" s="1">
        <v>69</v>
      </c>
      <c r="B57" s="2">
        <v>45028</v>
      </c>
      <c r="C57">
        <v>0</v>
      </c>
      <c r="D57">
        <v>82153</v>
      </c>
      <c r="E57">
        <v>82337</v>
      </c>
      <c r="F57">
        <v>81331</v>
      </c>
      <c r="G57">
        <v>81553</v>
      </c>
      <c r="H57">
        <v>722188</v>
      </c>
      <c r="I57">
        <v>1138</v>
      </c>
      <c r="J57">
        <v>0</v>
      </c>
      <c r="K57">
        <v>1</v>
      </c>
      <c r="L57">
        <v>383</v>
      </c>
      <c r="M57">
        <v>765</v>
      </c>
      <c r="N57">
        <v>383</v>
      </c>
      <c r="O57">
        <v>0</v>
      </c>
      <c r="P57">
        <v>383</v>
      </c>
    </row>
    <row r="58" spans="1:16" x14ac:dyDescent="0.25">
      <c r="A58" s="1">
        <v>70</v>
      </c>
      <c r="B58" s="2">
        <v>45029</v>
      </c>
      <c r="C58">
        <v>0</v>
      </c>
      <c r="D58">
        <v>81595</v>
      </c>
      <c r="E58">
        <v>81825</v>
      </c>
      <c r="F58">
        <v>80831</v>
      </c>
      <c r="G58">
        <v>81446</v>
      </c>
      <c r="H58">
        <v>948160</v>
      </c>
      <c r="I58">
        <v>1127.72</v>
      </c>
      <c r="J58">
        <v>0</v>
      </c>
      <c r="K58">
        <v>0</v>
      </c>
      <c r="L58">
        <v>379</v>
      </c>
      <c r="M58">
        <v>759</v>
      </c>
      <c r="N58">
        <v>0</v>
      </c>
      <c r="O58">
        <v>308</v>
      </c>
      <c r="P58">
        <v>308</v>
      </c>
    </row>
    <row r="59" spans="1:16" x14ac:dyDescent="0.25">
      <c r="A59" s="1">
        <v>71</v>
      </c>
      <c r="B59" s="2">
        <v>45030</v>
      </c>
      <c r="C59">
        <v>0</v>
      </c>
      <c r="D59">
        <v>81415</v>
      </c>
      <c r="E59">
        <v>81470</v>
      </c>
      <c r="F59">
        <v>80831</v>
      </c>
      <c r="G59">
        <v>81239</v>
      </c>
      <c r="H59">
        <v>826961</v>
      </c>
      <c r="I59">
        <v>1092.81</v>
      </c>
      <c r="J59">
        <v>0</v>
      </c>
      <c r="K59">
        <v>0</v>
      </c>
      <c r="L59">
        <v>376</v>
      </c>
      <c r="M59">
        <v>752</v>
      </c>
      <c r="N59">
        <v>0</v>
      </c>
      <c r="O59">
        <v>177</v>
      </c>
      <c r="P59">
        <v>177</v>
      </c>
    </row>
    <row r="60" spans="1:16" x14ac:dyDescent="0.25">
      <c r="A60" s="1">
        <v>72</v>
      </c>
      <c r="B60" s="2">
        <v>45033</v>
      </c>
      <c r="C60">
        <v>0</v>
      </c>
      <c r="D60">
        <v>81288</v>
      </c>
      <c r="E60">
        <v>81847</v>
      </c>
      <c r="F60">
        <v>80272</v>
      </c>
      <c r="G60">
        <v>80373</v>
      </c>
      <c r="H60">
        <v>1228931</v>
      </c>
      <c r="I60">
        <v>1127.25</v>
      </c>
      <c r="J60">
        <v>0</v>
      </c>
      <c r="K60">
        <v>0</v>
      </c>
      <c r="L60">
        <v>364</v>
      </c>
      <c r="M60">
        <v>729</v>
      </c>
      <c r="N60">
        <v>0</v>
      </c>
      <c r="O60">
        <v>729</v>
      </c>
      <c r="P60">
        <v>729</v>
      </c>
    </row>
    <row r="61" spans="1:16" x14ac:dyDescent="0.25">
      <c r="A61" s="1">
        <v>73</v>
      </c>
      <c r="B61" s="2">
        <v>45034</v>
      </c>
      <c r="C61">
        <v>0</v>
      </c>
      <c r="D61">
        <v>80373</v>
      </c>
      <c r="E61">
        <v>80899</v>
      </c>
      <c r="F61">
        <v>80180</v>
      </c>
      <c r="G61">
        <v>80701</v>
      </c>
      <c r="H61">
        <v>685353</v>
      </c>
      <c r="I61">
        <v>1098.0899999999999</v>
      </c>
      <c r="J61">
        <v>1</v>
      </c>
      <c r="K61">
        <v>0</v>
      </c>
      <c r="L61">
        <v>376</v>
      </c>
      <c r="M61">
        <v>752</v>
      </c>
      <c r="N61">
        <v>0</v>
      </c>
      <c r="O61">
        <v>-316</v>
      </c>
      <c r="P61">
        <v>-316</v>
      </c>
    </row>
    <row r="62" spans="1:16" x14ac:dyDescent="0.25">
      <c r="A62" s="1">
        <v>74</v>
      </c>
      <c r="B62" s="2">
        <v>45035</v>
      </c>
      <c r="C62">
        <v>0</v>
      </c>
      <c r="D62">
        <v>80713</v>
      </c>
      <c r="E62">
        <v>81370</v>
      </c>
      <c r="F62">
        <v>80300</v>
      </c>
      <c r="G62">
        <v>81270</v>
      </c>
      <c r="H62">
        <v>1062044</v>
      </c>
      <c r="I62">
        <v>1096.08</v>
      </c>
      <c r="J62">
        <v>1</v>
      </c>
      <c r="K62">
        <v>1</v>
      </c>
      <c r="L62">
        <v>366</v>
      </c>
      <c r="M62">
        <v>732</v>
      </c>
      <c r="N62">
        <v>558</v>
      </c>
      <c r="O62">
        <v>0</v>
      </c>
      <c r="P62">
        <v>558</v>
      </c>
    </row>
    <row r="63" spans="1:16" x14ac:dyDescent="0.25">
      <c r="A63" s="1">
        <v>75</v>
      </c>
      <c r="B63" s="2">
        <v>45036</v>
      </c>
      <c r="C63">
        <v>0</v>
      </c>
      <c r="D63">
        <v>81270</v>
      </c>
      <c r="E63">
        <v>81305</v>
      </c>
      <c r="F63">
        <v>80460</v>
      </c>
      <c r="G63">
        <v>80714</v>
      </c>
      <c r="H63">
        <v>868579</v>
      </c>
      <c r="I63">
        <v>1078.1500000000001</v>
      </c>
      <c r="J63">
        <v>0</v>
      </c>
      <c r="K63">
        <v>1</v>
      </c>
      <c r="L63">
        <v>365</v>
      </c>
      <c r="M63">
        <v>731</v>
      </c>
      <c r="N63">
        <v>365</v>
      </c>
      <c r="O63">
        <v>0</v>
      </c>
      <c r="P63">
        <v>365</v>
      </c>
    </row>
    <row r="64" spans="1:16" x14ac:dyDescent="0.25">
      <c r="A64" s="1">
        <v>76</v>
      </c>
      <c r="B64" s="2">
        <v>45037</v>
      </c>
      <c r="C64">
        <v>0</v>
      </c>
      <c r="D64">
        <v>80712</v>
      </c>
      <c r="E64">
        <v>80990</v>
      </c>
      <c r="F64">
        <v>80339</v>
      </c>
      <c r="G64">
        <v>80707</v>
      </c>
      <c r="H64">
        <v>591377</v>
      </c>
      <c r="I64">
        <v>1047.6400000000001</v>
      </c>
      <c r="J64">
        <v>0</v>
      </c>
      <c r="K64">
        <v>0</v>
      </c>
      <c r="L64">
        <v>359</v>
      </c>
      <c r="M64">
        <v>719</v>
      </c>
      <c r="N64">
        <v>0</v>
      </c>
      <c r="O64">
        <v>13</v>
      </c>
      <c r="P64">
        <v>13</v>
      </c>
    </row>
    <row r="65" spans="1:16" x14ac:dyDescent="0.25">
      <c r="A65" s="1">
        <v>77</v>
      </c>
      <c r="B65" s="2">
        <v>45040</v>
      </c>
      <c r="C65">
        <v>0</v>
      </c>
      <c r="D65">
        <v>80681</v>
      </c>
      <c r="E65">
        <v>80743</v>
      </c>
      <c r="F65">
        <v>79937</v>
      </c>
      <c r="G65">
        <v>80140</v>
      </c>
      <c r="H65">
        <v>812121</v>
      </c>
      <c r="I65">
        <v>1030.3800000000001</v>
      </c>
      <c r="J65">
        <v>0</v>
      </c>
      <c r="K65">
        <v>0</v>
      </c>
      <c r="L65">
        <v>349</v>
      </c>
      <c r="M65">
        <v>698</v>
      </c>
      <c r="N65">
        <v>0</v>
      </c>
      <c r="O65">
        <v>494</v>
      </c>
      <c r="P65">
        <v>494</v>
      </c>
    </row>
    <row r="66" spans="1:16" x14ac:dyDescent="0.25">
      <c r="A66" s="1">
        <v>78</v>
      </c>
      <c r="B66" s="2">
        <v>45041</v>
      </c>
      <c r="C66">
        <v>0</v>
      </c>
      <c r="D66">
        <v>80148</v>
      </c>
      <c r="E66">
        <v>80970</v>
      </c>
      <c r="F66">
        <v>80142</v>
      </c>
      <c r="G66">
        <v>80403</v>
      </c>
      <c r="H66">
        <v>1022639</v>
      </c>
      <c r="I66">
        <v>1016.06</v>
      </c>
      <c r="J66">
        <v>1</v>
      </c>
      <c r="K66">
        <v>0</v>
      </c>
      <c r="L66">
        <v>343</v>
      </c>
      <c r="M66">
        <v>687</v>
      </c>
      <c r="N66">
        <v>0</v>
      </c>
      <c r="O66">
        <v>-306</v>
      </c>
      <c r="P66">
        <v>-306</v>
      </c>
    </row>
    <row r="67" spans="1:16" x14ac:dyDescent="0.25">
      <c r="A67" s="1">
        <v>79</v>
      </c>
      <c r="B67" s="2">
        <v>45042</v>
      </c>
      <c r="C67">
        <v>0</v>
      </c>
      <c r="D67">
        <v>80400</v>
      </c>
      <c r="E67">
        <v>81051</v>
      </c>
      <c r="F67">
        <v>80243</v>
      </c>
      <c r="G67">
        <v>80946</v>
      </c>
      <c r="H67">
        <v>684142</v>
      </c>
      <c r="I67">
        <v>1001.2</v>
      </c>
      <c r="J67">
        <v>1</v>
      </c>
      <c r="K67">
        <v>1</v>
      </c>
      <c r="L67">
        <v>339</v>
      </c>
      <c r="M67">
        <v>677</v>
      </c>
      <c r="N67">
        <v>559</v>
      </c>
      <c r="O67">
        <v>0</v>
      </c>
      <c r="P67">
        <v>559</v>
      </c>
    </row>
    <row r="68" spans="1:16" x14ac:dyDescent="0.25">
      <c r="A68" s="1">
        <v>80</v>
      </c>
      <c r="B68" s="2">
        <v>45043</v>
      </c>
      <c r="C68">
        <v>0</v>
      </c>
      <c r="D68">
        <v>80988</v>
      </c>
      <c r="E68">
        <v>81175</v>
      </c>
      <c r="F68">
        <v>80065</v>
      </c>
      <c r="G68">
        <v>80317</v>
      </c>
      <c r="H68">
        <v>804009</v>
      </c>
      <c r="I68">
        <v>1008.97</v>
      </c>
      <c r="J68">
        <v>0</v>
      </c>
      <c r="K68">
        <v>1</v>
      </c>
      <c r="L68">
        <v>334</v>
      </c>
      <c r="M68">
        <v>667</v>
      </c>
      <c r="N68">
        <v>334</v>
      </c>
      <c r="O68">
        <v>0</v>
      </c>
      <c r="P68">
        <v>334</v>
      </c>
    </row>
    <row r="69" spans="1:16" x14ac:dyDescent="0.25">
      <c r="A69" s="1">
        <v>81</v>
      </c>
      <c r="B69" s="2">
        <v>45044</v>
      </c>
      <c r="C69">
        <v>0</v>
      </c>
      <c r="D69">
        <v>80317</v>
      </c>
      <c r="E69">
        <v>80676</v>
      </c>
      <c r="F69">
        <v>78250</v>
      </c>
      <c r="G69">
        <v>79310</v>
      </c>
      <c r="H69">
        <v>1791264</v>
      </c>
      <c r="I69">
        <v>1110.19</v>
      </c>
      <c r="J69">
        <v>0</v>
      </c>
      <c r="K69">
        <v>0</v>
      </c>
      <c r="L69">
        <v>336</v>
      </c>
      <c r="M69">
        <v>673</v>
      </c>
      <c r="N69">
        <v>0</v>
      </c>
      <c r="O69">
        <v>673</v>
      </c>
      <c r="P69">
        <v>673</v>
      </c>
    </row>
    <row r="70" spans="1:16" x14ac:dyDescent="0.25">
      <c r="A70" s="1">
        <v>82</v>
      </c>
      <c r="B70" s="2">
        <v>45048</v>
      </c>
      <c r="C70">
        <v>0</v>
      </c>
      <c r="D70">
        <v>79338</v>
      </c>
      <c r="E70">
        <v>79630</v>
      </c>
      <c r="F70">
        <v>78206</v>
      </c>
      <c r="G70">
        <v>78586</v>
      </c>
      <c r="H70">
        <v>1168695</v>
      </c>
      <c r="I70">
        <v>1132.6099999999999</v>
      </c>
      <c r="J70">
        <v>0</v>
      </c>
      <c r="K70">
        <v>0</v>
      </c>
      <c r="L70">
        <v>370</v>
      </c>
      <c r="M70">
        <v>740</v>
      </c>
      <c r="N70">
        <v>0</v>
      </c>
      <c r="O70">
        <v>740</v>
      </c>
      <c r="P70">
        <v>740</v>
      </c>
    </row>
    <row r="71" spans="1:16" x14ac:dyDescent="0.25">
      <c r="A71" s="1">
        <v>83</v>
      </c>
      <c r="B71" s="2">
        <v>45049</v>
      </c>
      <c r="C71">
        <v>0</v>
      </c>
      <c r="D71">
        <v>78586</v>
      </c>
      <c r="E71">
        <v>78848</v>
      </c>
      <c r="F71">
        <v>77641</v>
      </c>
      <c r="G71">
        <v>78220</v>
      </c>
      <c r="H71">
        <v>958268</v>
      </c>
      <c r="I71">
        <v>1137.92</v>
      </c>
      <c r="J71">
        <v>0</v>
      </c>
      <c r="K71">
        <v>0</v>
      </c>
      <c r="L71">
        <v>378</v>
      </c>
      <c r="M71">
        <v>755</v>
      </c>
      <c r="N71">
        <v>0</v>
      </c>
      <c r="O71">
        <v>415</v>
      </c>
      <c r="P71">
        <v>415</v>
      </c>
    </row>
    <row r="72" spans="1:16" x14ac:dyDescent="0.25">
      <c r="A72" s="1">
        <v>84</v>
      </c>
      <c r="B72" s="2">
        <v>45050</v>
      </c>
      <c r="C72">
        <v>0</v>
      </c>
      <c r="D72">
        <v>78239</v>
      </c>
      <c r="E72">
        <v>78280</v>
      </c>
      <c r="F72">
        <v>76406</v>
      </c>
      <c r="G72">
        <v>77136</v>
      </c>
      <c r="H72">
        <v>1437724</v>
      </c>
      <c r="I72">
        <v>1190.5</v>
      </c>
      <c r="J72">
        <v>0</v>
      </c>
      <c r="K72">
        <v>0</v>
      </c>
      <c r="L72">
        <v>379</v>
      </c>
      <c r="M72">
        <v>759</v>
      </c>
      <c r="N72">
        <v>0</v>
      </c>
      <c r="O72">
        <v>759</v>
      </c>
      <c r="P72">
        <v>759</v>
      </c>
    </row>
    <row r="73" spans="1:16" x14ac:dyDescent="0.25">
      <c r="A73" s="1">
        <v>85</v>
      </c>
      <c r="B73" s="2">
        <v>45051</v>
      </c>
      <c r="C73">
        <v>0</v>
      </c>
      <c r="D73">
        <v>77086</v>
      </c>
      <c r="E73">
        <v>77086</v>
      </c>
      <c r="F73">
        <v>75424</v>
      </c>
      <c r="G73">
        <v>76421</v>
      </c>
      <c r="H73">
        <v>1595824</v>
      </c>
      <c r="I73">
        <v>1227.75</v>
      </c>
      <c r="J73">
        <v>0</v>
      </c>
      <c r="K73">
        <v>0</v>
      </c>
      <c r="L73">
        <v>397</v>
      </c>
      <c r="M73">
        <v>794</v>
      </c>
      <c r="N73">
        <v>0</v>
      </c>
      <c r="O73">
        <v>757</v>
      </c>
      <c r="P73">
        <v>757</v>
      </c>
    </row>
    <row r="74" spans="1:16" x14ac:dyDescent="0.25">
      <c r="A74" s="1">
        <v>86</v>
      </c>
      <c r="B74" s="2">
        <v>45054</v>
      </c>
      <c r="C74">
        <v>0</v>
      </c>
      <c r="D74">
        <v>76449</v>
      </c>
      <c r="E74">
        <v>77610</v>
      </c>
      <c r="F74">
        <v>75566</v>
      </c>
      <c r="G74">
        <v>77276</v>
      </c>
      <c r="H74">
        <v>763645</v>
      </c>
      <c r="I74">
        <v>1286.05</v>
      </c>
      <c r="J74">
        <v>1</v>
      </c>
      <c r="K74">
        <v>0</v>
      </c>
      <c r="L74">
        <v>409</v>
      </c>
      <c r="M74">
        <v>818</v>
      </c>
      <c r="N74">
        <v>0</v>
      </c>
      <c r="O74">
        <v>409</v>
      </c>
      <c r="P74">
        <v>409</v>
      </c>
    </row>
    <row r="75" spans="1:16" x14ac:dyDescent="0.25">
      <c r="A75" s="1">
        <v>87</v>
      </c>
      <c r="B75" s="2">
        <v>45056</v>
      </c>
      <c r="C75">
        <v>0</v>
      </c>
      <c r="D75">
        <v>77257</v>
      </c>
      <c r="E75">
        <v>77275</v>
      </c>
      <c r="F75">
        <v>75205</v>
      </c>
      <c r="G75">
        <v>75289</v>
      </c>
      <c r="H75">
        <v>1353899</v>
      </c>
      <c r="I75">
        <v>1342.12</v>
      </c>
      <c r="J75">
        <v>0</v>
      </c>
      <c r="K75">
        <v>1</v>
      </c>
      <c r="L75">
        <v>429</v>
      </c>
      <c r="M75">
        <v>857</v>
      </c>
      <c r="N75">
        <v>429</v>
      </c>
      <c r="O75">
        <v>0</v>
      </c>
      <c r="P75">
        <v>429</v>
      </c>
    </row>
    <row r="76" spans="1:16" x14ac:dyDescent="0.25">
      <c r="A76" s="1">
        <v>88</v>
      </c>
      <c r="B76" s="2">
        <v>45057</v>
      </c>
      <c r="C76">
        <v>0</v>
      </c>
      <c r="D76">
        <v>75291</v>
      </c>
      <c r="E76">
        <v>77687</v>
      </c>
      <c r="F76">
        <v>74736</v>
      </c>
      <c r="G76">
        <v>77423</v>
      </c>
      <c r="H76">
        <v>2284511</v>
      </c>
      <c r="I76">
        <v>1457.04</v>
      </c>
      <c r="J76">
        <v>1</v>
      </c>
      <c r="K76">
        <v>0</v>
      </c>
      <c r="L76">
        <v>447</v>
      </c>
      <c r="M76">
        <v>895</v>
      </c>
      <c r="N76">
        <v>0</v>
      </c>
      <c r="O76">
        <v>447</v>
      </c>
      <c r="P76">
        <v>447</v>
      </c>
    </row>
    <row r="77" spans="1:16" x14ac:dyDescent="0.25">
      <c r="A77" s="1">
        <v>89</v>
      </c>
      <c r="B77" s="2">
        <v>45058</v>
      </c>
      <c r="C77">
        <v>0</v>
      </c>
      <c r="D77">
        <v>77367</v>
      </c>
      <c r="E77">
        <v>78129</v>
      </c>
      <c r="F77">
        <v>76530</v>
      </c>
      <c r="G77">
        <v>77699</v>
      </c>
      <c r="H77">
        <v>1372044</v>
      </c>
      <c r="I77">
        <v>1467.18</v>
      </c>
      <c r="J77">
        <v>1</v>
      </c>
      <c r="K77">
        <v>1</v>
      </c>
      <c r="L77">
        <v>486</v>
      </c>
      <c r="M77">
        <v>971</v>
      </c>
      <c r="N77">
        <v>341</v>
      </c>
      <c r="O77">
        <v>0</v>
      </c>
      <c r="P77">
        <v>341</v>
      </c>
    </row>
    <row r="78" spans="1:16" x14ac:dyDescent="0.25">
      <c r="A78" s="1">
        <v>90</v>
      </c>
      <c r="B78" s="2">
        <v>45061</v>
      </c>
      <c r="C78">
        <v>0</v>
      </c>
      <c r="D78">
        <v>77720</v>
      </c>
      <c r="E78">
        <v>79477</v>
      </c>
      <c r="F78">
        <v>77720</v>
      </c>
      <c r="G78">
        <v>79234</v>
      </c>
      <c r="H78">
        <v>1212820</v>
      </c>
      <c r="I78">
        <v>1489.38</v>
      </c>
      <c r="J78">
        <v>1</v>
      </c>
      <c r="K78">
        <v>1</v>
      </c>
      <c r="L78">
        <v>489</v>
      </c>
      <c r="M78">
        <v>978</v>
      </c>
      <c r="N78">
        <v>978</v>
      </c>
      <c r="O78">
        <v>0</v>
      </c>
      <c r="P78">
        <v>978</v>
      </c>
    </row>
    <row r="79" spans="1:16" x14ac:dyDescent="0.25">
      <c r="A79" s="1">
        <v>91</v>
      </c>
      <c r="B79" s="2">
        <v>45062</v>
      </c>
      <c r="C79">
        <v>0</v>
      </c>
      <c r="D79">
        <v>79221</v>
      </c>
      <c r="E79">
        <v>80330</v>
      </c>
      <c r="F79">
        <v>79221</v>
      </c>
      <c r="G79">
        <v>80330</v>
      </c>
      <c r="H79">
        <v>1278732</v>
      </c>
      <c r="I79">
        <v>1462.21</v>
      </c>
      <c r="J79">
        <v>1</v>
      </c>
      <c r="K79">
        <v>1</v>
      </c>
      <c r="L79">
        <v>496</v>
      </c>
      <c r="M79">
        <v>993</v>
      </c>
      <c r="N79">
        <v>993</v>
      </c>
      <c r="O79">
        <v>0</v>
      </c>
      <c r="P79">
        <v>993</v>
      </c>
    </row>
    <row r="80" spans="1:16" x14ac:dyDescent="0.25">
      <c r="A80" s="1">
        <v>92</v>
      </c>
      <c r="B80" s="2">
        <v>45063</v>
      </c>
      <c r="C80">
        <v>0</v>
      </c>
      <c r="D80">
        <v>80330</v>
      </c>
      <c r="E80">
        <v>80682</v>
      </c>
      <c r="F80">
        <v>79006</v>
      </c>
      <c r="G80">
        <v>79105</v>
      </c>
      <c r="H80">
        <v>1455318</v>
      </c>
      <c r="I80">
        <v>1477.48</v>
      </c>
      <c r="J80">
        <v>0</v>
      </c>
      <c r="K80">
        <v>1</v>
      </c>
      <c r="L80">
        <v>487</v>
      </c>
      <c r="M80">
        <v>975</v>
      </c>
      <c r="N80">
        <v>487</v>
      </c>
      <c r="O80">
        <v>0</v>
      </c>
      <c r="P80">
        <v>487</v>
      </c>
    </row>
    <row r="81" spans="1:16" x14ac:dyDescent="0.25">
      <c r="A81" s="1">
        <v>93</v>
      </c>
      <c r="B81" s="2">
        <v>45064</v>
      </c>
      <c r="C81">
        <v>0</v>
      </c>
      <c r="D81">
        <v>79122</v>
      </c>
      <c r="E81">
        <v>80200</v>
      </c>
      <c r="F81">
        <v>78827</v>
      </c>
      <c r="G81">
        <v>80077</v>
      </c>
      <c r="H81">
        <v>1407010</v>
      </c>
      <c r="I81">
        <v>1470.02</v>
      </c>
      <c r="J81">
        <v>1</v>
      </c>
      <c r="K81">
        <v>0</v>
      </c>
      <c r="L81">
        <v>492</v>
      </c>
      <c r="M81">
        <v>985</v>
      </c>
      <c r="N81">
        <v>0</v>
      </c>
      <c r="O81">
        <v>492</v>
      </c>
      <c r="P81">
        <v>492</v>
      </c>
    </row>
    <row r="82" spans="1:16" x14ac:dyDescent="0.25">
      <c r="A82" s="1">
        <v>94</v>
      </c>
      <c r="B82" s="2">
        <v>45065</v>
      </c>
      <c r="C82">
        <v>0</v>
      </c>
      <c r="D82">
        <v>80065</v>
      </c>
      <c r="E82">
        <v>80082</v>
      </c>
      <c r="F82">
        <v>79220</v>
      </c>
      <c r="G82">
        <v>79570</v>
      </c>
      <c r="H82">
        <v>824836</v>
      </c>
      <c r="I82">
        <v>1426.59</v>
      </c>
      <c r="J82">
        <v>0</v>
      </c>
      <c r="K82">
        <v>1</v>
      </c>
      <c r="L82">
        <v>490</v>
      </c>
      <c r="M82">
        <v>980</v>
      </c>
      <c r="N82">
        <v>490</v>
      </c>
      <c r="O82">
        <v>0</v>
      </c>
      <c r="P82">
        <v>490</v>
      </c>
    </row>
    <row r="83" spans="1:16" x14ac:dyDescent="0.25">
      <c r="A83" s="1">
        <v>95</v>
      </c>
      <c r="B83" s="2">
        <v>45068</v>
      </c>
      <c r="C83">
        <v>0</v>
      </c>
      <c r="D83">
        <v>79574</v>
      </c>
      <c r="E83">
        <v>79995</v>
      </c>
      <c r="F83">
        <v>79275</v>
      </c>
      <c r="G83">
        <v>79745</v>
      </c>
      <c r="H83">
        <v>846144</v>
      </c>
      <c r="I83">
        <v>1376.12</v>
      </c>
      <c r="J83">
        <v>1</v>
      </c>
      <c r="K83">
        <v>0</v>
      </c>
      <c r="L83">
        <v>476</v>
      </c>
      <c r="M83">
        <v>951</v>
      </c>
      <c r="N83">
        <v>0</v>
      </c>
      <c r="O83">
        <v>-213</v>
      </c>
      <c r="P83">
        <v>-213</v>
      </c>
    </row>
    <row r="84" spans="1:16" x14ac:dyDescent="0.25">
      <c r="A84" s="1">
        <v>96</v>
      </c>
      <c r="B84" s="2">
        <v>45069</v>
      </c>
      <c r="C84">
        <v>0</v>
      </c>
      <c r="D84">
        <v>79752</v>
      </c>
      <c r="E84">
        <v>80293</v>
      </c>
      <c r="F84">
        <v>79441</v>
      </c>
      <c r="G84">
        <v>80048</v>
      </c>
      <c r="H84">
        <v>1011864</v>
      </c>
      <c r="I84">
        <v>1338.68</v>
      </c>
      <c r="J84">
        <v>1</v>
      </c>
      <c r="K84">
        <v>1</v>
      </c>
      <c r="L84">
        <v>459</v>
      </c>
      <c r="M84">
        <v>917</v>
      </c>
      <c r="N84">
        <v>308</v>
      </c>
      <c r="O84">
        <v>0</v>
      </c>
      <c r="P84">
        <v>308</v>
      </c>
    </row>
    <row r="85" spans="1:16" x14ac:dyDescent="0.25">
      <c r="A85" s="1">
        <v>97</v>
      </c>
      <c r="B85" s="2">
        <v>45070</v>
      </c>
      <c r="C85">
        <v>0</v>
      </c>
      <c r="D85">
        <v>80032</v>
      </c>
      <c r="E85">
        <v>80250</v>
      </c>
      <c r="F85">
        <v>79582</v>
      </c>
      <c r="G85">
        <v>79980</v>
      </c>
      <c r="H85">
        <v>694527</v>
      </c>
      <c r="I85">
        <v>1290.77</v>
      </c>
      <c r="J85">
        <v>0</v>
      </c>
      <c r="K85">
        <v>1</v>
      </c>
      <c r="L85">
        <v>446</v>
      </c>
      <c r="M85">
        <v>892</v>
      </c>
      <c r="N85">
        <v>-37</v>
      </c>
      <c r="O85">
        <v>0</v>
      </c>
      <c r="P85">
        <v>-37</v>
      </c>
    </row>
    <row r="86" spans="1:16" x14ac:dyDescent="0.25">
      <c r="A86" s="1">
        <v>98</v>
      </c>
      <c r="B86" s="2">
        <v>45071</v>
      </c>
      <c r="C86">
        <v>0</v>
      </c>
      <c r="D86">
        <v>80017</v>
      </c>
      <c r="E86">
        <v>80220</v>
      </c>
      <c r="F86">
        <v>79512</v>
      </c>
      <c r="G86">
        <v>80074</v>
      </c>
      <c r="H86">
        <v>850172</v>
      </c>
      <c r="I86">
        <v>1249.1500000000001</v>
      </c>
      <c r="J86">
        <v>1</v>
      </c>
      <c r="K86">
        <v>0</v>
      </c>
      <c r="L86">
        <v>430</v>
      </c>
      <c r="M86">
        <v>861</v>
      </c>
      <c r="N86">
        <v>0</v>
      </c>
      <c r="O86">
        <v>-83</v>
      </c>
      <c r="P86">
        <v>-83</v>
      </c>
    </row>
    <row r="87" spans="1:16" x14ac:dyDescent="0.25">
      <c r="A87" s="1">
        <v>99</v>
      </c>
      <c r="B87" s="2">
        <v>45072</v>
      </c>
      <c r="C87">
        <v>0</v>
      </c>
      <c r="D87">
        <v>80042</v>
      </c>
      <c r="E87">
        <v>80096</v>
      </c>
      <c r="F87">
        <v>79581</v>
      </c>
      <c r="G87">
        <v>79934</v>
      </c>
      <c r="H87">
        <v>658941</v>
      </c>
      <c r="I87">
        <v>1196.71</v>
      </c>
      <c r="J87">
        <v>0</v>
      </c>
      <c r="K87">
        <v>1</v>
      </c>
      <c r="L87">
        <v>416</v>
      </c>
      <c r="M87">
        <v>833</v>
      </c>
      <c r="N87">
        <v>-102</v>
      </c>
      <c r="O87">
        <v>0</v>
      </c>
      <c r="P87">
        <v>-102</v>
      </c>
    </row>
    <row r="88" spans="1:16" x14ac:dyDescent="0.25">
      <c r="A88" s="1">
        <v>100</v>
      </c>
      <c r="B88" s="2">
        <v>45075</v>
      </c>
      <c r="C88">
        <v>0</v>
      </c>
      <c r="D88">
        <v>79934</v>
      </c>
      <c r="E88">
        <v>80932</v>
      </c>
      <c r="F88">
        <v>79731</v>
      </c>
      <c r="G88">
        <v>80848</v>
      </c>
      <c r="H88">
        <v>1082581</v>
      </c>
      <c r="I88">
        <v>1197.02</v>
      </c>
      <c r="J88">
        <v>1</v>
      </c>
      <c r="K88">
        <v>0</v>
      </c>
      <c r="L88">
        <v>399</v>
      </c>
      <c r="M88">
        <v>798</v>
      </c>
      <c r="N88">
        <v>0</v>
      </c>
      <c r="O88">
        <v>399</v>
      </c>
      <c r="P88">
        <v>399</v>
      </c>
    </row>
    <row r="89" spans="1:16" x14ac:dyDescent="0.25">
      <c r="A89" s="1">
        <v>101</v>
      </c>
      <c r="B89" s="2">
        <v>45076</v>
      </c>
      <c r="C89">
        <v>0</v>
      </c>
      <c r="D89">
        <v>80856</v>
      </c>
      <c r="E89">
        <v>81323</v>
      </c>
      <c r="F89">
        <v>80088</v>
      </c>
      <c r="G89">
        <v>80731</v>
      </c>
      <c r="H89">
        <v>1094854</v>
      </c>
      <c r="I89">
        <v>1199.73</v>
      </c>
      <c r="J89">
        <v>0</v>
      </c>
      <c r="K89">
        <v>1</v>
      </c>
      <c r="L89">
        <v>399</v>
      </c>
      <c r="M89">
        <v>798</v>
      </c>
      <c r="N89">
        <v>-10</v>
      </c>
      <c r="O89">
        <v>0</v>
      </c>
      <c r="P89">
        <v>-10</v>
      </c>
    </row>
    <row r="90" spans="1:16" x14ac:dyDescent="0.25">
      <c r="A90" s="1">
        <v>102</v>
      </c>
      <c r="B90" s="2">
        <v>45077</v>
      </c>
      <c r="C90">
        <v>0</v>
      </c>
      <c r="D90">
        <v>80747</v>
      </c>
      <c r="E90">
        <v>81180</v>
      </c>
      <c r="F90">
        <v>80540</v>
      </c>
      <c r="G90">
        <v>80735</v>
      </c>
      <c r="H90">
        <v>1002344</v>
      </c>
      <c r="I90">
        <v>1159.75</v>
      </c>
      <c r="J90">
        <v>0</v>
      </c>
      <c r="K90">
        <v>0</v>
      </c>
      <c r="L90">
        <v>400</v>
      </c>
      <c r="M90">
        <v>800</v>
      </c>
      <c r="N90">
        <v>0</v>
      </c>
      <c r="O90">
        <v>67</v>
      </c>
      <c r="P90">
        <v>67</v>
      </c>
    </row>
    <row r="91" spans="1:16" x14ac:dyDescent="0.25">
      <c r="A91" s="1">
        <v>103</v>
      </c>
      <c r="B91" s="2">
        <v>45078</v>
      </c>
      <c r="C91">
        <v>0</v>
      </c>
      <c r="D91">
        <v>80738</v>
      </c>
      <c r="E91">
        <v>81030</v>
      </c>
      <c r="F91">
        <v>80180</v>
      </c>
      <c r="G91">
        <v>80531</v>
      </c>
      <c r="H91">
        <v>993678</v>
      </c>
      <c r="I91">
        <v>1137.6199999999999</v>
      </c>
      <c r="J91">
        <v>0</v>
      </c>
      <c r="K91">
        <v>0</v>
      </c>
      <c r="L91">
        <v>387</v>
      </c>
      <c r="M91">
        <v>773</v>
      </c>
      <c r="N91">
        <v>0</v>
      </c>
      <c r="O91">
        <v>215</v>
      </c>
      <c r="P91">
        <v>215</v>
      </c>
    </row>
    <row r="92" spans="1:16" x14ac:dyDescent="0.25">
      <c r="A92" s="1">
        <v>104</v>
      </c>
      <c r="B92" s="2">
        <v>45079</v>
      </c>
      <c r="C92">
        <v>0</v>
      </c>
      <c r="D92">
        <v>80529</v>
      </c>
      <c r="E92">
        <v>81470</v>
      </c>
      <c r="F92">
        <v>80346</v>
      </c>
      <c r="G92">
        <v>81431</v>
      </c>
      <c r="H92">
        <v>1016842</v>
      </c>
      <c r="I92">
        <v>1136.6500000000001</v>
      </c>
      <c r="J92">
        <v>1</v>
      </c>
      <c r="K92">
        <v>0</v>
      </c>
      <c r="L92">
        <v>379</v>
      </c>
      <c r="M92">
        <v>758</v>
      </c>
      <c r="N92">
        <v>0</v>
      </c>
      <c r="O92">
        <v>379</v>
      </c>
      <c r="P92">
        <v>379</v>
      </c>
    </row>
    <row r="93" spans="1:16" x14ac:dyDescent="0.25">
      <c r="A93" s="1">
        <v>105</v>
      </c>
      <c r="B93" s="2">
        <v>45082</v>
      </c>
      <c r="C93">
        <v>0</v>
      </c>
      <c r="D93">
        <v>81437</v>
      </c>
      <c r="E93">
        <v>81734</v>
      </c>
      <c r="F93">
        <v>80480</v>
      </c>
      <c r="G93">
        <v>80749</v>
      </c>
      <c r="H93">
        <v>901493</v>
      </c>
      <c r="I93">
        <v>1145.03</v>
      </c>
      <c r="J93">
        <v>0</v>
      </c>
      <c r="K93">
        <v>1</v>
      </c>
      <c r="L93">
        <v>379</v>
      </c>
      <c r="M93">
        <v>758</v>
      </c>
      <c r="N93">
        <v>379</v>
      </c>
      <c r="O93">
        <v>0</v>
      </c>
      <c r="P93">
        <v>379</v>
      </c>
    </row>
    <row r="94" spans="1:16" x14ac:dyDescent="0.25">
      <c r="A94" s="1">
        <v>106</v>
      </c>
      <c r="B94" s="2">
        <v>45083</v>
      </c>
      <c r="C94">
        <v>0</v>
      </c>
      <c r="D94">
        <v>80750</v>
      </c>
      <c r="E94">
        <v>81573</v>
      </c>
      <c r="F94">
        <v>80635</v>
      </c>
      <c r="G94">
        <v>81375</v>
      </c>
      <c r="H94">
        <v>788905</v>
      </c>
      <c r="I94">
        <v>1130.24</v>
      </c>
      <c r="J94">
        <v>1</v>
      </c>
      <c r="K94">
        <v>0</v>
      </c>
      <c r="L94">
        <v>382</v>
      </c>
      <c r="M94">
        <v>763</v>
      </c>
      <c r="N94">
        <v>0</v>
      </c>
      <c r="O94">
        <v>-650</v>
      </c>
      <c r="P94">
        <v>-650</v>
      </c>
    </row>
    <row r="95" spans="1:16" x14ac:dyDescent="0.25">
      <c r="A95" s="1">
        <v>107</v>
      </c>
      <c r="B95" s="2">
        <v>45084</v>
      </c>
      <c r="C95">
        <v>0</v>
      </c>
      <c r="D95">
        <v>81375</v>
      </c>
      <c r="E95">
        <v>81990</v>
      </c>
      <c r="F95">
        <v>81128</v>
      </c>
      <c r="G95">
        <v>81884</v>
      </c>
      <c r="H95">
        <v>846180</v>
      </c>
      <c r="I95">
        <v>1111.08</v>
      </c>
      <c r="J95">
        <v>1</v>
      </c>
      <c r="K95">
        <v>1</v>
      </c>
      <c r="L95">
        <v>377</v>
      </c>
      <c r="M95">
        <v>753</v>
      </c>
      <c r="N95">
        <v>519</v>
      </c>
      <c r="O95">
        <v>0</v>
      </c>
      <c r="P95">
        <v>519</v>
      </c>
    </row>
    <row r="96" spans="1:16" x14ac:dyDescent="0.25">
      <c r="A96" s="1">
        <v>108</v>
      </c>
      <c r="B96" s="2">
        <v>45085</v>
      </c>
      <c r="C96">
        <v>0</v>
      </c>
      <c r="D96">
        <v>81883</v>
      </c>
      <c r="E96">
        <v>82769</v>
      </c>
      <c r="F96">
        <v>81751</v>
      </c>
      <c r="G96">
        <v>82685</v>
      </c>
      <c r="H96">
        <v>873135</v>
      </c>
      <c r="I96">
        <v>1104.43</v>
      </c>
      <c r="J96">
        <v>1</v>
      </c>
      <c r="K96">
        <v>1</v>
      </c>
      <c r="L96">
        <v>370</v>
      </c>
      <c r="M96">
        <v>741</v>
      </c>
      <c r="N96">
        <v>741</v>
      </c>
      <c r="O96">
        <v>0</v>
      </c>
      <c r="P96">
        <v>741</v>
      </c>
    </row>
    <row r="97" spans="1:16" x14ac:dyDescent="0.25">
      <c r="A97" s="1">
        <v>109</v>
      </c>
      <c r="B97" s="2">
        <v>45086</v>
      </c>
      <c r="C97">
        <v>0</v>
      </c>
      <c r="D97">
        <v>82693</v>
      </c>
      <c r="E97">
        <v>83010</v>
      </c>
      <c r="F97">
        <v>82150</v>
      </c>
      <c r="G97">
        <v>82462</v>
      </c>
      <c r="H97">
        <v>910174</v>
      </c>
      <c r="I97">
        <v>1086.98</v>
      </c>
      <c r="J97">
        <v>0</v>
      </c>
      <c r="K97">
        <v>1</v>
      </c>
      <c r="L97">
        <v>368</v>
      </c>
      <c r="M97">
        <v>736</v>
      </c>
      <c r="N97">
        <v>-125</v>
      </c>
      <c r="O97">
        <v>0</v>
      </c>
      <c r="P97">
        <v>-125</v>
      </c>
    </row>
    <row r="98" spans="1:16" x14ac:dyDescent="0.25">
      <c r="A98" s="1">
        <v>110</v>
      </c>
      <c r="B98" s="2">
        <v>45090</v>
      </c>
      <c r="C98">
        <v>0</v>
      </c>
      <c r="D98">
        <v>82516</v>
      </c>
      <c r="E98">
        <v>84675</v>
      </c>
      <c r="F98">
        <v>82516</v>
      </c>
      <c r="G98">
        <v>84541</v>
      </c>
      <c r="H98">
        <v>1705968</v>
      </c>
      <c r="I98">
        <v>1167.4100000000001</v>
      </c>
      <c r="J98">
        <v>1</v>
      </c>
      <c r="K98">
        <v>0</v>
      </c>
      <c r="L98">
        <v>362</v>
      </c>
      <c r="M98">
        <v>725</v>
      </c>
      <c r="N98">
        <v>0</v>
      </c>
      <c r="O98">
        <v>362</v>
      </c>
      <c r="P98">
        <v>362</v>
      </c>
    </row>
    <row r="99" spans="1:16" x14ac:dyDescent="0.25">
      <c r="A99" s="1">
        <v>111</v>
      </c>
      <c r="B99" s="2">
        <v>45091</v>
      </c>
      <c r="C99">
        <v>0</v>
      </c>
      <c r="D99">
        <v>83645</v>
      </c>
      <c r="E99">
        <v>84166</v>
      </c>
      <c r="F99">
        <v>82820</v>
      </c>
      <c r="G99">
        <v>83633</v>
      </c>
      <c r="H99">
        <v>651300</v>
      </c>
      <c r="I99">
        <v>1206.95</v>
      </c>
      <c r="J99">
        <v>0</v>
      </c>
      <c r="K99">
        <v>1</v>
      </c>
      <c r="L99">
        <v>389</v>
      </c>
      <c r="M99">
        <v>778</v>
      </c>
      <c r="N99">
        <v>-76</v>
      </c>
      <c r="O99">
        <v>0</v>
      </c>
      <c r="P99">
        <v>-76</v>
      </c>
    </row>
    <row r="100" spans="1:16" x14ac:dyDescent="0.25">
      <c r="A100" s="1">
        <v>112</v>
      </c>
      <c r="B100" s="2">
        <v>45092</v>
      </c>
      <c r="C100">
        <v>0</v>
      </c>
      <c r="D100">
        <v>83632</v>
      </c>
      <c r="E100">
        <v>83877</v>
      </c>
      <c r="F100">
        <v>82756</v>
      </c>
      <c r="G100">
        <v>83205</v>
      </c>
      <c r="H100">
        <v>1213237</v>
      </c>
      <c r="I100">
        <v>1200.81</v>
      </c>
      <c r="J100">
        <v>0</v>
      </c>
      <c r="K100">
        <v>0</v>
      </c>
      <c r="L100">
        <v>402</v>
      </c>
      <c r="M100">
        <v>805</v>
      </c>
      <c r="N100">
        <v>0</v>
      </c>
      <c r="O100">
        <v>418</v>
      </c>
      <c r="P100">
        <v>418</v>
      </c>
    </row>
    <row r="101" spans="1:16" x14ac:dyDescent="0.25">
      <c r="A101" s="1">
        <v>113</v>
      </c>
      <c r="B101" s="2">
        <v>45093</v>
      </c>
      <c r="C101">
        <v>0</v>
      </c>
      <c r="D101">
        <v>83222</v>
      </c>
      <c r="E101">
        <v>83895</v>
      </c>
      <c r="F101">
        <v>82809</v>
      </c>
      <c r="G101">
        <v>83825</v>
      </c>
      <c r="H101">
        <v>997870</v>
      </c>
      <c r="I101">
        <v>1192.6099999999999</v>
      </c>
      <c r="J101">
        <v>1</v>
      </c>
      <c r="K101">
        <v>0</v>
      </c>
      <c r="L101">
        <v>400</v>
      </c>
      <c r="M101">
        <v>801</v>
      </c>
      <c r="N101">
        <v>0</v>
      </c>
      <c r="O101">
        <v>-567</v>
      </c>
      <c r="P101">
        <v>-567</v>
      </c>
    </row>
    <row r="102" spans="1:16" x14ac:dyDescent="0.25">
      <c r="A102" s="1">
        <v>114</v>
      </c>
      <c r="B102" s="2">
        <v>45096</v>
      </c>
      <c r="C102">
        <v>0</v>
      </c>
      <c r="D102">
        <v>83840</v>
      </c>
      <c r="E102">
        <v>84132</v>
      </c>
      <c r="F102">
        <v>83254</v>
      </c>
      <c r="G102">
        <v>83640</v>
      </c>
      <c r="H102">
        <v>889227</v>
      </c>
      <c r="I102">
        <v>1170.1400000000001</v>
      </c>
      <c r="J102">
        <v>0</v>
      </c>
      <c r="K102">
        <v>1</v>
      </c>
      <c r="L102">
        <v>398</v>
      </c>
      <c r="M102">
        <v>795</v>
      </c>
      <c r="N102">
        <v>-133</v>
      </c>
      <c r="O102">
        <v>0</v>
      </c>
      <c r="P102">
        <v>-133</v>
      </c>
    </row>
    <row r="103" spans="1:16" x14ac:dyDescent="0.25">
      <c r="A103" s="1">
        <v>115</v>
      </c>
      <c r="B103" s="2">
        <v>45097</v>
      </c>
      <c r="C103">
        <v>0</v>
      </c>
      <c r="D103">
        <v>83666</v>
      </c>
      <c r="E103">
        <v>84577</v>
      </c>
      <c r="F103">
        <v>83462</v>
      </c>
      <c r="G103">
        <v>84416</v>
      </c>
      <c r="H103">
        <v>919848</v>
      </c>
      <c r="I103">
        <v>1166.2</v>
      </c>
      <c r="J103">
        <v>1</v>
      </c>
      <c r="K103">
        <v>0</v>
      </c>
      <c r="L103">
        <v>390</v>
      </c>
      <c r="M103">
        <v>780</v>
      </c>
      <c r="N103">
        <v>0</v>
      </c>
      <c r="O103">
        <v>-748</v>
      </c>
      <c r="P103">
        <v>-748</v>
      </c>
    </row>
    <row r="104" spans="1:16" x14ac:dyDescent="0.25">
      <c r="A104" s="1">
        <v>116</v>
      </c>
      <c r="B104" s="2">
        <v>45098</v>
      </c>
      <c r="C104">
        <v>0</v>
      </c>
      <c r="D104">
        <v>84405</v>
      </c>
      <c r="E104">
        <v>84405</v>
      </c>
      <c r="F104">
        <v>82627</v>
      </c>
      <c r="G104">
        <v>82833</v>
      </c>
      <c r="H104">
        <v>1802491</v>
      </c>
      <c r="I104">
        <v>1210.68</v>
      </c>
      <c r="J104">
        <v>0</v>
      </c>
      <c r="K104">
        <v>1</v>
      </c>
      <c r="L104">
        <v>389</v>
      </c>
      <c r="M104">
        <v>777</v>
      </c>
      <c r="N104">
        <v>389</v>
      </c>
      <c r="O104">
        <v>0</v>
      </c>
      <c r="P104">
        <v>389</v>
      </c>
    </row>
    <row r="105" spans="1:16" x14ac:dyDescent="0.25">
      <c r="A105" s="1">
        <v>117</v>
      </c>
      <c r="B105" s="2">
        <v>45099</v>
      </c>
      <c r="C105">
        <v>0</v>
      </c>
      <c r="D105">
        <v>82835</v>
      </c>
      <c r="E105">
        <v>83476</v>
      </c>
      <c r="F105">
        <v>82256</v>
      </c>
      <c r="G105">
        <v>83189</v>
      </c>
      <c r="H105">
        <v>1073910</v>
      </c>
      <c r="I105">
        <v>1211.3499999999999</v>
      </c>
      <c r="J105">
        <v>1</v>
      </c>
      <c r="K105">
        <v>0</v>
      </c>
      <c r="L105">
        <v>404</v>
      </c>
      <c r="M105">
        <v>807</v>
      </c>
      <c r="N105">
        <v>0</v>
      </c>
      <c r="O105">
        <v>-310</v>
      </c>
      <c r="P105">
        <v>-310</v>
      </c>
    </row>
    <row r="106" spans="1:16" x14ac:dyDescent="0.25">
      <c r="A106" s="1">
        <v>118</v>
      </c>
      <c r="B106" s="2">
        <v>45100</v>
      </c>
      <c r="C106">
        <v>0</v>
      </c>
      <c r="D106">
        <v>83199</v>
      </c>
      <c r="E106">
        <v>84757</v>
      </c>
      <c r="F106">
        <v>82672</v>
      </c>
      <c r="G106">
        <v>84748</v>
      </c>
      <c r="H106">
        <v>1294508</v>
      </c>
      <c r="I106">
        <v>1273.75</v>
      </c>
      <c r="J106">
        <v>1</v>
      </c>
      <c r="K106">
        <v>1</v>
      </c>
      <c r="L106">
        <v>404</v>
      </c>
      <c r="M106">
        <v>808</v>
      </c>
      <c r="N106">
        <v>808</v>
      </c>
      <c r="O106">
        <v>0</v>
      </c>
      <c r="P106">
        <v>808</v>
      </c>
    </row>
    <row r="107" spans="1:16" x14ac:dyDescent="0.25">
      <c r="A107" s="1">
        <v>119</v>
      </c>
      <c r="B107" s="2">
        <v>45103</v>
      </c>
      <c r="C107">
        <v>0</v>
      </c>
      <c r="D107">
        <v>84750</v>
      </c>
      <c r="E107">
        <v>85100</v>
      </c>
      <c r="F107">
        <v>83343</v>
      </c>
      <c r="G107">
        <v>84187</v>
      </c>
      <c r="H107">
        <v>1650666</v>
      </c>
      <c r="I107">
        <v>1308.27</v>
      </c>
      <c r="J107">
        <v>0</v>
      </c>
      <c r="K107">
        <v>1</v>
      </c>
      <c r="L107">
        <v>425</v>
      </c>
      <c r="M107">
        <v>849</v>
      </c>
      <c r="N107">
        <v>425</v>
      </c>
      <c r="O107">
        <v>0</v>
      </c>
      <c r="P107">
        <v>425</v>
      </c>
    </row>
    <row r="108" spans="1:16" x14ac:dyDescent="0.25">
      <c r="A108" s="1">
        <v>120</v>
      </c>
      <c r="B108" s="2">
        <v>45104</v>
      </c>
      <c r="C108">
        <v>0</v>
      </c>
      <c r="D108">
        <v>84180</v>
      </c>
      <c r="E108">
        <v>84570</v>
      </c>
      <c r="F108">
        <v>83687</v>
      </c>
      <c r="G108">
        <v>84321</v>
      </c>
      <c r="H108">
        <v>829207</v>
      </c>
      <c r="I108">
        <v>1277.8900000000001</v>
      </c>
      <c r="J108">
        <v>1</v>
      </c>
      <c r="K108">
        <v>0</v>
      </c>
      <c r="L108">
        <v>436</v>
      </c>
      <c r="M108">
        <v>872</v>
      </c>
      <c r="N108">
        <v>0</v>
      </c>
      <c r="O108">
        <v>-181</v>
      </c>
      <c r="P108">
        <v>-181</v>
      </c>
    </row>
    <row r="109" spans="1:16" x14ac:dyDescent="0.25">
      <c r="A109" s="1">
        <v>121</v>
      </c>
      <c r="B109" s="2">
        <v>45105</v>
      </c>
      <c r="C109">
        <v>0</v>
      </c>
      <c r="D109">
        <v>84318</v>
      </c>
      <c r="E109">
        <v>86030</v>
      </c>
      <c r="F109">
        <v>84167</v>
      </c>
      <c r="G109">
        <v>85684</v>
      </c>
      <c r="H109">
        <v>1315944</v>
      </c>
      <c r="I109">
        <v>1319.69</v>
      </c>
      <c r="J109">
        <v>1</v>
      </c>
      <c r="K109">
        <v>1</v>
      </c>
      <c r="L109">
        <v>426</v>
      </c>
      <c r="M109">
        <v>852</v>
      </c>
      <c r="N109">
        <v>852</v>
      </c>
      <c r="O109">
        <v>0</v>
      </c>
      <c r="P109">
        <v>852</v>
      </c>
    </row>
    <row r="110" spans="1:16" x14ac:dyDescent="0.25">
      <c r="A110" s="1">
        <v>122</v>
      </c>
      <c r="B110" s="2">
        <v>45106</v>
      </c>
      <c r="C110">
        <v>0</v>
      </c>
      <c r="D110">
        <v>85696</v>
      </c>
      <c r="E110">
        <v>87399</v>
      </c>
      <c r="F110">
        <v>85536</v>
      </c>
      <c r="G110">
        <v>87199</v>
      </c>
      <c r="H110">
        <v>1451811</v>
      </c>
      <c r="I110">
        <v>1358.5</v>
      </c>
      <c r="J110">
        <v>1</v>
      </c>
      <c r="K110">
        <v>1</v>
      </c>
      <c r="L110">
        <v>440</v>
      </c>
      <c r="M110">
        <v>880</v>
      </c>
      <c r="N110">
        <v>880</v>
      </c>
      <c r="O110">
        <v>0</v>
      </c>
      <c r="P110">
        <v>880</v>
      </c>
    </row>
    <row r="111" spans="1:16" x14ac:dyDescent="0.25">
      <c r="A111" s="1">
        <v>123</v>
      </c>
      <c r="B111" s="2">
        <v>45107</v>
      </c>
      <c r="C111">
        <v>0</v>
      </c>
      <c r="D111">
        <v>87174</v>
      </c>
      <c r="E111">
        <v>88963</v>
      </c>
      <c r="F111">
        <v>86680</v>
      </c>
      <c r="G111">
        <v>88778</v>
      </c>
      <c r="H111">
        <v>2783713</v>
      </c>
      <c r="I111">
        <v>1424.53</v>
      </c>
      <c r="J111">
        <v>1</v>
      </c>
      <c r="K111">
        <v>1</v>
      </c>
      <c r="L111">
        <v>453</v>
      </c>
      <c r="M111">
        <v>906</v>
      </c>
      <c r="N111">
        <v>906</v>
      </c>
      <c r="O111">
        <v>0</v>
      </c>
      <c r="P111">
        <v>906</v>
      </c>
    </row>
    <row r="112" spans="1:16" x14ac:dyDescent="0.25">
      <c r="A112" s="1">
        <v>124</v>
      </c>
      <c r="B112" s="2">
        <v>45110</v>
      </c>
      <c r="C112">
        <v>0</v>
      </c>
      <c r="D112">
        <v>88732</v>
      </c>
      <c r="E112">
        <v>88732</v>
      </c>
      <c r="F112">
        <v>86820</v>
      </c>
      <c r="G112">
        <v>87238</v>
      </c>
      <c r="H112">
        <v>1628508</v>
      </c>
      <c r="I112">
        <v>1462.64</v>
      </c>
      <c r="J112">
        <v>0</v>
      </c>
      <c r="K112">
        <v>1</v>
      </c>
      <c r="L112">
        <v>475</v>
      </c>
      <c r="M112">
        <v>950</v>
      </c>
      <c r="N112">
        <v>475</v>
      </c>
      <c r="O112">
        <v>0</v>
      </c>
      <c r="P112">
        <v>475</v>
      </c>
    </row>
    <row r="113" spans="1:16" x14ac:dyDescent="0.25">
      <c r="A113" s="1">
        <v>125</v>
      </c>
      <c r="B113" s="2">
        <v>45111</v>
      </c>
      <c r="C113">
        <v>0</v>
      </c>
      <c r="D113">
        <v>87253</v>
      </c>
      <c r="E113">
        <v>88862</v>
      </c>
      <c r="F113">
        <v>86949</v>
      </c>
      <c r="G113">
        <v>87841</v>
      </c>
      <c r="H113">
        <v>1894491</v>
      </c>
      <c r="I113">
        <v>1494.81</v>
      </c>
      <c r="J113">
        <v>1</v>
      </c>
      <c r="K113">
        <v>0</v>
      </c>
      <c r="L113">
        <v>488</v>
      </c>
      <c r="M113">
        <v>975</v>
      </c>
      <c r="N113">
        <v>0</v>
      </c>
      <c r="O113">
        <v>-572</v>
      </c>
      <c r="P113">
        <v>-572</v>
      </c>
    </row>
    <row r="114" spans="1:16" x14ac:dyDescent="0.25">
      <c r="A114" s="1">
        <v>126</v>
      </c>
      <c r="B114" s="2">
        <v>45112</v>
      </c>
      <c r="C114">
        <v>0</v>
      </c>
      <c r="D114">
        <v>87876</v>
      </c>
      <c r="E114">
        <v>89200</v>
      </c>
      <c r="F114">
        <v>87683</v>
      </c>
      <c r="G114">
        <v>89040</v>
      </c>
      <c r="H114">
        <v>1805509</v>
      </c>
      <c r="I114">
        <v>1496.39</v>
      </c>
      <c r="J114">
        <v>1</v>
      </c>
      <c r="K114">
        <v>1</v>
      </c>
      <c r="L114">
        <v>498</v>
      </c>
      <c r="M114">
        <v>997</v>
      </c>
      <c r="N114">
        <v>997</v>
      </c>
      <c r="O114">
        <v>0</v>
      </c>
      <c r="P114">
        <v>997</v>
      </c>
    </row>
    <row r="115" spans="1:16" x14ac:dyDescent="0.25">
      <c r="A115" s="1">
        <v>127</v>
      </c>
      <c r="B115" s="2">
        <v>45113</v>
      </c>
      <c r="C115">
        <v>0</v>
      </c>
      <c r="D115">
        <v>89040</v>
      </c>
      <c r="E115">
        <v>91394</v>
      </c>
      <c r="F115">
        <v>89040</v>
      </c>
      <c r="G115">
        <v>89950</v>
      </c>
      <c r="H115">
        <v>2342211</v>
      </c>
      <c r="I115">
        <v>1557.65</v>
      </c>
      <c r="J115">
        <v>1</v>
      </c>
      <c r="K115">
        <v>1</v>
      </c>
      <c r="L115">
        <v>499</v>
      </c>
      <c r="M115">
        <v>998</v>
      </c>
      <c r="N115">
        <v>841</v>
      </c>
      <c r="O115">
        <v>0</v>
      </c>
      <c r="P115">
        <v>841</v>
      </c>
    </row>
    <row r="116" spans="1:16" x14ac:dyDescent="0.25">
      <c r="A116" s="1">
        <v>128</v>
      </c>
      <c r="B116" s="2">
        <v>45114</v>
      </c>
      <c r="C116">
        <v>0</v>
      </c>
      <c r="D116">
        <v>89925</v>
      </c>
      <c r="E116">
        <v>90478</v>
      </c>
      <c r="F116">
        <v>89356</v>
      </c>
      <c r="G116">
        <v>90089</v>
      </c>
      <c r="H116">
        <v>979830</v>
      </c>
      <c r="I116">
        <v>1526.53</v>
      </c>
      <c r="J116">
        <v>1</v>
      </c>
      <c r="K116">
        <v>1</v>
      </c>
      <c r="L116">
        <v>519</v>
      </c>
      <c r="M116">
        <v>1038</v>
      </c>
      <c r="N116">
        <v>62</v>
      </c>
      <c r="O116">
        <v>0</v>
      </c>
      <c r="P116">
        <v>62</v>
      </c>
    </row>
    <row r="117" spans="1:16" x14ac:dyDescent="0.25">
      <c r="A117" s="1">
        <v>129</v>
      </c>
      <c r="B117" s="2">
        <v>45117</v>
      </c>
      <c r="C117">
        <v>0</v>
      </c>
      <c r="D117">
        <v>90100</v>
      </c>
      <c r="E117">
        <v>90436</v>
      </c>
      <c r="F117">
        <v>88507</v>
      </c>
      <c r="G117">
        <v>88709</v>
      </c>
      <c r="H117">
        <v>1119729</v>
      </c>
      <c r="I117">
        <v>1555.28</v>
      </c>
      <c r="J117">
        <v>0</v>
      </c>
      <c r="K117">
        <v>1</v>
      </c>
      <c r="L117">
        <v>509</v>
      </c>
      <c r="M117">
        <v>1018</v>
      </c>
      <c r="N117">
        <v>509</v>
      </c>
      <c r="O117">
        <v>0</v>
      </c>
      <c r="P117">
        <v>509</v>
      </c>
    </row>
    <row r="118" spans="1:16" x14ac:dyDescent="0.25">
      <c r="A118" s="1">
        <v>130</v>
      </c>
      <c r="B118" s="2">
        <v>45118</v>
      </c>
      <c r="C118">
        <v>0</v>
      </c>
      <c r="D118">
        <v>88679</v>
      </c>
      <c r="E118">
        <v>89398</v>
      </c>
      <c r="F118">
        <v>88098</v>
      </c>
      <c r="G118">
        <v>88429</v>
      </c>
      <c r="H118">
        <v>1078969</v>
      </c>
      <c r="I118">
        <v>1537.04</v>
      </c>
      <c r="J118">
        <v>0</v>
      </c>
      <c r="K118">
        <v>0</v>
      </c>
      <c r="L118">
        <v>518</v>
      </c>
      <c r="M118">
        <v>1037</v>
      </c>
      <c r="N118">
        <v>0</v>
      </c>
      <c r="O118">
        <v>134</v>
      </c>
      <c r="P118">
        <v>134</v>
      </c>
    </row>
    <row r="119" spans="1:16" x14ac:dyDescent="0.25">
      <c r="A119" s="1">
        <v>131</v>
      </c>
      <c r="B119" s="2">
        <v>45119</v>
      </c>
      <c r="C119">
        <v>0</v>
      </c>
      <c r="D119">
        <v>88417</v>
      </c>
      <c r="E119">
        <v>90040</v>
      </c>
      <c r="F119">
        <v>88409</v>
      </c>
      <c r="G119">
        <v>89980</v>
      </c>
      <c r="H119">
        <v>1456249</v>
      </c>
      <c r="I119">
        <v>1543.76</v>
      </c>
      <c r="J119">
        <v>1</v>
      </c>
      <c r="K119">
        <v>0</v>
      </c>
      <c r="L119">
        <v>512</v>
      </c>
      <c r="M119">
        <v>1025</v>
      </c>
      <c r="N119">
        <v>0</v>
      </c>
      <c r="O119">
        <v>512</v>
      </c>
      <c r="P119">
        <v>512</v>
      </c>
    </row>
    <row r="120" spans="1:16" x14ac:dyDescent="0.25">
      <c r="A120" s="1">
        <v>132</v>
      </c>
      <c r="B120" s="2">
        <v>45120</v>
      </c>
      <c r="C120">
        <v>0</v>
      </c>
      <c r="D120">
        <v>90071</v>
      </c>
      <c r="E120">
        <v>90270</v>
      </c>
      <c r="F120">
        <v>88450</v>
      </c>
      <c r="G120">
        <v>88841</v>
      </c>
      <c r="H120">
        <v>1230943</v>
      </c>
      <c r="I120">
        <v>1563.49</v>
      </c>
      <c r="J120">
        <v>0</v>
      </c>
      <c r="K120">
        <v>1</v>
      </c>
      <c r="L120">
        <v>515</v>
      </c>
      <c r="M120">
        <v>1029</v>
      </c>
      <c r="N120">
        <v>515</v>
      </c>
      <c r="O120">
        <v>0</v>
      </c>
      <c r="P120">
        <v>515</v>
      </c>
    </row>
    <row r="121" spans="1:16" x14ac:dyDescent="0.25">
      <c r="A121" s="1">
        <v>133</v>
      </c>
      <c r="B121" s="2">
        <v>45121</v>
      </c>
      <c r="C121">
        <v>0</v>
      </c>
      <c r="D121">
        <v>88825</v>
      </c>
      <c r="E121">
        <v>89676</v>
      </c>
      <c r="F121">
        <v>88588</v>
      </c>
      <c r="G121">
        <v>89490</v>
      </c>
      <c r="H121">
        <v>1177044</v>
      </c>
      <c r="I121">
        <v>1529.52</v>
      </c>
      <c r="J121">
        <v>1</v>
      </c>
      <c r="K121">
        <v>0</v>
      </c>
      <c r="L121">
        <v>521</v>
      </c>
      <c r="M121">
        <v>1042</v>
      </c>
      <c r="N121">
        <v>0</v>
      </c>
      <c r="O121">
        <v>-615</v>
      </c>
      <c r="P121">
        <v>-615</v>
      </c>
    </row>
    <row r="122" spans="1:16" x14ac:dyDescent="0.25">
      <c r="A122" s="1">
        <v>134</v>
      </c>
      <c r="B122" s="2">
        <v>45124</v>
      </c>
      <c r="C122">
        <v>0</v>
      </c>
      <c r="D122">
        <v>89643</v>
      </c>
      <c r="E122">
        <v>90525</v>
      </c>
      <c r="F122">
        <v>89261</v>
      </c>
      <c r="G122">
        <v>90371</v>
      </c>
      <c r="H122">
        <v>914583</v>
      </c>
      <c r="I122">
        <v>1510.56</v>
      </c>
      <c r="J122">
        <v>1</v>
      </c>
      <c r="K122">
        <v>1</v>
      </c>
      <c r="L122">
        <v>510</v>
      </c>
      <c r="M122">
        <v>1020</v>
      </c>
      <c r="N122">
        <v>806</v>
      </c>
      <c r="O122">
        <v>0</v>
      </c>
      <c r="P122">
        <v>806</v>
      </c>
    </row>
    <row r="123" spans="1:16" x14ac:dyDescent="0.25">
      <c r="A123" s="1">
        <v>135</v>
      </c>
      <c r="B123" s="2">
        <v>45125</v>
      </c>
      <c r="C123">
        <v>0</v>
      </c>
      <c r="D123">
        <v>90299</v>
      </c>
      <c r="E123">
        <v>90299</v>
      </c>
      <c r="F123">
        <v>89694</v>
      </c>
      <c r="G123">
        <v>89890</v>
      </c>
      <c r="H123">
        <v>776298</v>
      </c>
      <c r="I123">
        <v>1451.02</v>
      </c>
      <c r="J123">
        <v>0</v>
      </c>
      <c r="K123">
        <v>1</v>
      </c>
      <c r="L123">
        <v>504</v>
      </c>
      <c r="M123">
        <v>1007</v>
      </c>
      <c r="N123">
        <v>-282</v>
      </c>
      <c r="O123">
        <v>0</v>
      </c>
      <c r="P123">
        <v>-282</v>
      </c>
    </row>
    <row r="124" spans="1:16" x14ac:dyDescent="0.25">
      <c r="A124" s="1">
        <v>136</v>
      </c>
      <c r="B124" s="2">
        <v>45126</v>
      </c>
      <c r="C124">
        <v>0</v>
      </c>
      <c r="D124">
        <v>90025</v>
      </c>
      <c r="E124">
        <v>90738</v>
      </c>
      <c r="F124">
        <v>89911</v>
      </c>
      <c r="G124">
        <v>90289</v>
      </c>
      <c r="H124">
        <v>824607</v>
      </c>
      <c r="I124">
        <v>1407.95</v>
      </c>
      <c r="J124">
        <v>1</v>
      </c>
      <c r="K124">
        <v>0</v>
      </c>
      <c r="L124">
        <v>484</v>
      </c>
      <c r="M124">
        <v>967</v>
      </c>
      <c r="N124">
        <v>0</v>
      </c>
      <c r="O124">
        <v>-256</v>
      </c>
      <c r="P124">
        <v>-256</v>
      </c>
    </row>
    <row r="125" spans="1:16" x14ac:dyDescent="0.25">
      <c r="A125" s="1">
        <v>137</v>
      </c>
      <c r="B125" s="2">
        <v>45127</v>
      </c>
      <c r="C125">
        <v>0</v>
      </c>
      <c r="D125">
        <v>90139</v>
      </c>
      <c r="E125">
        <v>90286</v>
      </c>
      <c r="F125">
        <v>89270</v>
      </c>
      <c r="G125">
        <v>89607</v>
      </c>
      <c r="H125">
        <v>1294706</v>
      </c>
      <c r="I125">
        <v>1380.16</v>
      </c>
      <c r="J125">
        <v>0</v>
      </c>
      <c r="K125">
        <v>1</v>
      </c>
      <c r="L125">
        <v>469</v>
      </c>
      <c r="M125">
        <v>939</v>
      </c>
      <c r="N125">
        <v>469</v>
      </c>
      <c r="O125">
        <v>0</v>
      </c>
      <c r="P125">
        <v>469</v>
      </c>
    </row>
    <row r="126" spans="1:16" x14ac:dyDescent="0.25">
      <c r="A126" s="1">
        <v>138</v>
      </c>
      <c r="B126" s="2">
        <v>45128</v>
      </c>
      <c r="C126">
        <v>0</v>
      </c>
      <c r="D126">
        <v>89619</v>
      </c>
      <c r="E126">
        <v>90379</v>
      </c>
      <c r="F126">
        <v>88881</v>
      </c>
      <c r="G126">
        <v>90245</v>
      </c>
      <c r="H126">
        <v>1028327</v>
      </c>
      <c r="I126">
        <v>1388.58</v>
      </c>
      <c r="J126">
        <v>1</v>
      </c>
      <c r="K126">
        <v>0</v>
      </c>
      <c r="L126">
        <v>460</v>
      </c>
      <c r="M126">
        <v>920</v>
      </c>
      <c r="N126">
        <v>0</v>
      </c>
      <c r="O126">
        <v>-665</v>
      </c>
      <c r="P126">
        <v>-665</v>
      </c>
    </row>
    <row r="127" spans="1:16" x14ac:dyDescent="0.25">
      <c r="A127" s="1">
        <v>139</v>
      </c>
      <c r="B127" s="2">
        <v>45131</v>
      </c>
      <c r="C127">
        <v>0</v>
      </c>
      <c r="D127">
        <v>90218</v>
      </c>
      <c r="E127">
        <v>90258</v>
      </c>
      <c r="F127">
        <v>89302</v>
      </c>
      <c r="G127">
        <v>89360</v>
      </c>
      <c r="H127">
        <v>712299</v>
      </c>
      <c r="I127">
        <v>1357.68</v>
      </c>
      <c r="J127">
        <v>0</v>
      </c>
      <c r="K127">
        <v>1</v>
      </c>
      <c r="L127">
        <v>463</v>
      </c>
      <c r="M127">
        <v>926</v>
      </c>
      <c r="N127">
        <v>463</v>
      </c>
      <c r="O127">
        <v>0</v>
      </c>
      <c r="P127">
        <v>463</v>
      </c>
    </row>
    <row r="128" spans="1:16" x14ac:dyDescent="0.25">
      <c r="A128" s="1">
        <v>140</v>
      </c>
      <c r="B128" s="2">
        <v>45132</v>
      </c>
      <c r="C128">
        <v>0</v>
      </c>
      <c r="D128">
        <v>89303</v>
      </c>
      <c r="E128">
        <v>89680</v>
      </c>
      <c r="F128">
        <v>89020</v>
      </c>
      <c r="G128">
        <v>89442</v>
      </c>
      <c r="H128">
        <v>666516</v>
      </c>
      <c r="I128">
        <v>1307.8499999999999</v>
      </c>
      <c r="J128">
        <v>1</v>
      </c>
      <c r="K128">
        <v>0</v>
      </c>
      <c r="L128">
        <v>453</v>
      </c>
      <c r="M128">
        <v>905</v>
      </c>
      <c r="N128">
        <v>0</v>
      </c>
      <c r="O128">
        <v>-140</v>
      </c>
      <c r="P128">
        <v>-140</v>
      </c>
    </row>
    <row r="129" spans="1:16" x14ac:dyDescent="0.25">
      <c r="A129" s="1">
        <v>141</v>
      </c>
      <c r="B129" s="2">
        <v>45133</v>
      </c>
      <c r="C129">
        <v>0</v>
      </c>
      <c r="D129">
        <v>89517</v>
      </c>
      <c r="E129">
        <v>89590</v>
      </c>
      <c r="F129">
        <v>89112</v>
      </c>
      <c r="G129">
        <v>89320</v>
      </c>
      <c r="H129">
        <v>496389</v>
      </c>
      <c r="I129">
        <v>1248.57</v>
      </c>
      <c r="J129">
        <v>0</v>
      </c>
      <c r="K129">
        <v>1</v>
      </c>
      <c r="L129">
        <v>436</v>
      </c>
      <c r="M129">
        <v>872</v>
      </c>
      <c r="N129">
        <v>-184</v>
      </c>
      <c r="O129">
        <v>0</v>
      </c>
      <c r="P129">
        <v>-184</v>
      </c>
    </row>
    <row r="130" spans="1:16" x14ac:dyDescent="0.25">
      <c r="A130" s="1">
        <v>142</v>
      </c>
      <c r="B130" s="2">
        <v>45134</v>
      </c>
      <c r="C130">
        <v>0</v>
      </c>
      <c r="D130">
        <v>89303</v>
      </c>
      <c r="E130">
        <v>90065</v>
      </c>
      <c r="F130">
        <v>88984</v>
      </c>
      <c r="G130">
        <v>89903</v>
      </c>
      <c r="H130">
        <v>1009033</v>
      </c>
      <c r="I130">
        <v>1236.5999999999999</v>
      </c>
      <c r="J130">
        <v>1</v>
      </c>
      <c r="K130">
        <v>0</v>
      </c>
      <c r="L130">
        <v>416</v>
      </c>
      <c r="M130">
        <v>832</v>
      </c>
      <c r="N130">
        <v>0</v>
      </c>
      <c r="O130">
        <v>-545</v>
      </c>
      <c r="P130">
        <v>-545</v>
      </c>
    </row>
    <row r="131" spans="1:16" x14ac:dyDescent="0.25">
      <c r="A131" s="1">
        <v>143</v>
      </c>
      <c r="B131" s="2">
        <v>45135</v>
      </c>
      <c r="C131">
        <v>0</v>
      </c>
      <c r="D131">
        <v>89859</v>
      </c>
      <c r="E131">
        <v>91350</v>
      </c>
      <c r="F131">
        <v>89710</v>
      </c>
      <c r="G131">
        <v>91321</v>
      </c>
      <c r="H131">
        <v>920050</v>
      </c>
      <c r="I131">
        <v>1265.42</v>
      </c>
      <c r="J131">
        <v>1</v>
      </c>
      <c r="K131">
        <v>1</v>
      </c>
      <c r="L131">
        <v>412</v>
      </c>
      <c r="M131">
        <v>824</v>
      </c>
      <c r="N131">
        <v>824</v>
      </c>
      <c r="O131">
        <v>0</v>
      </c>
      <c r="P131">
        <v>824</v>
      </c>
    </row>
    <row r="132" spans="1:16" x14ac:dyDescent="0.25">
      <c r="A132" s="1">
        <v>144</v>
      </c>
      <c r="B132" s="2">
        <v>45138</v>
      </c>
      <c r="C132">
        <v>0</v>
      </c>
      <c r="D132">
        <v>91490</v>
      </c>
      <c r="E132">
        <v>91875</v>
      </c>
      <c r="F132">
        <v>90550</v>
      </c>
      <c r="G132">
        <v>90872</v>
      </c>
      <c r="H132">
        <v>1010504</v>
      </c>
      <c r="I132">
        <v>1269.67</v>
      </c>
      <c r="J132">
        <v>0</v>
      </c>
      <c r="K132">
        <v>1</v>
      </c>
      <c r="L132">
        <v>422</v>
      </c>
      <c r="M132">
        <v>844</v>
      </c>
      <c r="N132">
        <v>422</v>
      </c>
      <c r="O132">
        <v>0</v>
      </c>
      <c r="P132">
        <v>422</v>
      </c>
    </row>
    <row r="133" spans="1:16" x14ac:dyDescent="0.25">
      <c r="A133" s="1">
        <v>145</v>
      </c>
      <c r="B133" s="2">
        <v>45139</v>
      </c>
      <c r="C133">
        <v>0</v>
      </c>
      <c r="D133">
        <v>90973</v>
      </c>
      <c r="E133">
        <v>92134</v>
      </c>
      <c r="F133">
        <v>90633</v>
      </c>
      <c r="G133">
        <v>91931</v>
      </c>
      <c r="H133">
        <v>823037</v>
      </c>
      <c r="I133">
        <v>1286.2</v>
      </c>
      <c r="J133">
        <v>1</v>
      </c>
      <c r="K133">
        <v>0</v>
      </c>
      <c r="L133">
        <v>423</v>
      </c>
      <c r="M133">
        <v>846</v>
      </c>
      <c r="N133">
        <v>0</v>
      </c>
      <c r="O133">
        <v>423</v>
      </c>
      <c r="P133">
        <v>423</v>
      </c>
    </row>
    <row r="134" spans="1:16" x14ac:dyDescent="0.25">
      <c r="A134" s="1">
        <v>146</v>
      </c>
      <c r="B134" s="2">
        <v>45140</v>
      </c>
      <c r="C134">
        <v>0</v>
      </c>
      <c r="D134">
        <v>91835</v>
      </c>
      <c r="E134">
        <v>93795</v>
      </c>
      <c r="F134">
        <v>91525</v>
      </c>
      <c r="G134">
        <v>93377</v>
      </c>
      <c r="H134">
        <v>1269308</v>
      </c>
      <c r="I134">
        <v>1356.47</v>
      </c>
      <c r="J134">
        <v>1</v>
      </c>
      <c r="K134">
        <v>1</v>
      </c>
      <c r="L134">
        <v>429</v>
      </c>
      <c r="M134">
        <v>857</v>
      </c>
      <c r="N134">
        <v>857</v>
      </c>
      <c r="O134">
        <v>0</v>
      </c>
      <c r="P134">
        <v>857</v>
      </c>
    </row>
    <row r="135" spans="1:16" x14ac:dyDescent="0.25">
      <c r="A135" s="1">
        <v>147</v>
      </c>
      <c r="B135" s="2">
        <v>45141</v>
      </c>
      <c r="C135">
        <v>0</v>
      </c>
      <c r="D135">
        <v>93259</v>
      </c>
      <c r="E135">
        <v>93958</v>
      </c>
      <c r="F135">
        <v>92476</v>
      </c>
      <c r="G135">
        <v>93475</v>
      </c>
      <c r="H135">
        <v>1465635</v>
      </c>
      <c r="I135">
        <v>1365.43</v>
      </c>
      <c r="J135">
        <v>1</v>
      </c>
      <c r="K135">
        <v>1</v>
      </c>
      <c r="L135">
        <v>452</v>
      </c>
      <c r="M135">
        <v>904</v>
      </c>
      <c r="N135">
        <v>295</v>
      </c>
      <c r="O135">
        <v>0</v>
      </c>
      <c r="P135">
        <v>295</v>
      </c>
    </row>
    <row r="136" spans="1:16" x14ac:dyDescent="0.25">
      <c r="A136" s="1">
        <v>148</v>
      </c>
      <c r="B136" s="2">
        <v>45142</v>
      </c>
      <c r="C136">
        <v>0</v>
      </c>
      <c r="D136">
        <v>93475</v>
      </c>
      <c r="E136">
        <v>95230</v>
      </c>
      <c r="F136">
        <v>93295</v>
      </c>
      <c r="G136">
        <v>94714</v>
      </c>
      <c r="H136">
        <v>1269498</v>
      </c>
      <c r="I136">
        <v>1406.12</v>
      </c>
      <c r="J136">
        <v>1</v>
      </c>
      <c r="K136">
        <v>1</v>
      </c>
      <c r="L136">
        <v>455</v>
      </c>
      <c r="M136">
        <v>910</v>
      </c>
      <c r="N136">
        <v>910</v>
      </c>
      <c r="O136">
        <v>0</v>
      </c>
      <c r="P136">
        <v>910</v>
      </c>
    </row>
    <row r="137" spans="1:16" x14ac:dyDescent="0.25">
      <c r="A137" s="1">
        <v>149</v>
      </c>
      <c r="B137" s="2">
        <v>45145</v>
      </c>
      <c r="C137">
        <v>0</v>
      </c>
      <c r="D137">
        <v>94698</v>
      </c>
      <c r="E137">
        <v>96102</v>
      </c>
      <c r="F137">
        <v>93300</v>
      </c>
      <c r="G137">
        <v>94358</v>
      </c>
      <c r="H137">
        <v>1587923</v>
      </c>
      <c r="I137">
        <v>1505.82</v>
      </c>
      <c r="J137">
        <v>0</v>
      </c>
      <c r="K137">
        <v>1</v>
      </c>
      <c r="L137">
        <v>469</v>
      </c>
      <c r="M137">
        <v>937</v>
      </c>
      <c r="N137">
        <v>-328</v>
      </c>
      <c r="O137">
        <v>0</v>
      </c>
      <c r="P137">
        <v>-328</v>
      </c>
    </row>
    <row r="138" spans="1:16" x14ac:dyDescent="0.25">
      <c r="A138" s="1">
        <v>150</v>
      </c>
      <c r="B138" s="2">
        <v>45146</v>
      </c>
      <c r="C138">
        <v>0</v>
      </c>
      <c r="D138">
        <v>94630</v>
      </c>
      <c r="E138">
        <v>96792</v>
      </c>
      <c r="F138">
        <v>94250</v>
      </c>
      <c r="G138">
        <v>96668</v>
      </c>
      <c r="H138">
        <v>1425014</v>
      </c>
      <c r="I138">
        <v>1579.84</v>
      </c>
      <c r="J138">
        <v>1</v>
      </c>
      <c r="K138">
        <v>0</v>
      </c>
      <c r="L138">
        <v>502</v>
      </c>
      <c r="M138">
        <v>1004</v>
      </c>
      <c r="N138">
        <v>0</v>
      </c>
      <c r="O138">
        <v>502</v>
      </c>
      <c r="P138">
        <v>502</v>
      </c>
    </row>
    <row r="139" spans="1:16" x14ac:dyDescent="0.25">
      <c r="A139" s="1">
        <v>151</v>
      </c>
      <c r="B139" s="2">
        <v>45147</v>
      </c>
      <c r="C139">
        <v>0</v>
      </c>
      <c r="D139">
        <v>96127</v>
      </c>
      <c r="E139">
        <v>96989</v>
      </c>
      <c r="F139">
        <v>95625</v>
      </c>
      <c r="G139">
        <v>95676</v>
      </c>
      <c r="H139">
        <v>1525811</v>
      </c>
      <c r="I139">
        <v>1564.42</v>
      </c>
      <c r="J139">
        <v>0</v>
      </c>
      <c r="K139">
        <v>1</v>
      </c>
      <c r="L139">
        <v>527</v>
      </c>
      <c r="M139">
        <v>1053</v>
      </c>
      <c r="N139">
        <v>-369</v>
      </c>
      <c r="O139">
        <v>0</v>
      </c>
      <c r="P139">
        <v>-369</v>
      </c>
    </row>
    <row r="140" spans="1:16" x14ac:dyDescent="0.25">
      <c r="A140" s="1">
        <v>152</v>
      </c>
      <c r="B140" s="2">
        <v>45148</v>
      </c>
      <c r="C140">
        <v>0</v>
      </c>
      <c r="D140">
        <v>95809</v>
      </c>
      <c r="E140">
        <v>96940</v>
      </c>
      <c r="F140">
        <v>95222</v>
      </c>
      <c r="G140">
        <v>96800</v>
      </c>
      <c r="H140">
        <v>1534967</v>
      </c>
      <c r="I140">
        <v>1575.39</v>
      </c>
      <c r="J140">
        <v>1</v>
      </c>
      <c r="K140">
        <v>0</v>
      </c>
      <c r="L140">
        <v>521</v>
      </c>
      <c r="M140">
        <v>1043</v>
      </c>
      <c r="N140">
        <v>0</v>
      </c>
      <c r="O140">
        <v>-933</v>
      </c>
      <c r="P140">
        <v>-933</v>
      </c>
    </row>
    <row r="141" spans="1:16" x14ac:dyDescent="0.25">
      <c r="A141" s="1">
        <v>153</v>
      </c>
      <c r="B141" s="2">
        <v>45149</v>
      </c>
      <c r="C141">
        <v>0</v>
      </c>
      <c r="D141">
        <v>96879</v>
      </c>
      <c r="E141">
        <v>98920</v>
      </c>
      <c r="F141">
        <v>96600</v>
      </c>
      <c r="G141">
        <v>98820</v>
      </c>
      <c r="H141">
        <v>1500082</v>
      </c>
      <c r="I141">
        <v>1628.58</v>
      </c>
      <c r="J141">
        <v>1</v>
      </c>
      <c r="K141">
        <v>1</v>
      </c>
      <c r="L141">
        <v>525</v>
      </c>
      <c r="M141">
        <v>1050</v>
      </c>
      <c r="N141">
        <v>1050</v>
      </c>
      <c r="O141">
        <v>0</v>
      </c>
      <c r="P141">
        <v>1050</v>
      </c>
    </row>
    <row r="142" spans="1:16" x14ac:dyDescent="0.25">
      <c r="A142" s="1">
        <v>154</v>
      </c>
      <c r="B142" s="2">
        <v>45152</v>
      </c>
      <c r="C142">
        <v>0</v>
      </c>
      <c r="D142">
        <v>98950</v>
      </c>
      <c r="E142">
        <v>100783</v>
      </c>
      <c r="F142">
        <v>95708</v>
      </c>
      <c r="G142">
        <v>95750</v>
      </c>
      <c r="H142">
        <v>2902483</v>
      </c>
      <c r="I142">
        <v>1874.75</v>
      </c>
      <c r="J142">
        <v>0</v>
      </c>
      <c r="K142">
        <v>1</v>
      </c>
      <c r="L142">
        <v>543</v>
      </c>
      <c r="M142">
        <v>1086</v>
      </c>
      <c r="N142">
        <v>543</v>
      </c>
      <c r="O142">
        <v>0</v>
      </c>
      <c r="P142">
        <v>543</v>
      </c>
    </row>
    <row r="143" spans="1:16" x14ac:dyDescent="0.25">
      <c r="A143" s="1">
        <v>155</v>
      </c>
      <c r="B143" s="2">
        <v>45153</v>
      </c>
      <c r="C143">
        <v>0</v>
      </c>
      <c r="D143">
        <v>95340</v>
      </c>
      <c r="E143">
        <v>98431</v>
      </c>
      <c r="F143">
        <v>94350</v>
      </c>
      <c r="G143">
        <v>95250</v>
      </c>
      <c r="H143">
        <v>2825901</v>
      </c>
      <c r="I143">
        <v>2032.34</v>
      </c>
      <c r="J143">
        <v>0</v>
      </c>
      <c r="K143">
        <v>0</v>
      </c>
      <c r="L143">
        <v>625</v>
      </c>
      <c r="M143">
        <v>1250</v>
      </c>
      <c r="N143">
        <v>0</v>
      </c>
      <c r="O143">
        <v>-45</v>
      </c>
      <c r="P143">
        <v>-45</v>
      </c>
    </row>
    <row r="144" spans="1:16" x14ac:dyDescent="0.25">
      <c r="A144" s="1">
        <v>156</v>
      </c>
      <c r="B144" s="2">
        <v>45154</v>
      </c>
      <c r="C144">
        <v>0</v>
      </c>
      <c r="D144">
        <v>95915</v>
      </c>
      <c r="E144">
        <v>96430</v>
      </c>
      <c r="F144">
        <v>93115</v>
      </c>
      <c r="G144">
        <v>93833</v>
      </c>
      <c r="H144">
        <v>2007495</v>
      </c>
      <c r="I144">
        <v>2123.96</v>
      </c>
      <c r="J144">
        <v>0</v>
      </c>
      <c r="K144">
        <v>0</v>
      </c>
      <c r="L144">
        <v>677</v>
      </c>
      <c r="M144">
        <v>1355</v>
      </c>
      <c r="N144">
        <v>0</v>
      </c>
      <c r="O144">
        <v>1355</v>
      </c>
      <c r="P144">
        <v>1355</v>
      </c>
    </row>
    <row r="145" spans="1:16" x14ac:dyDescent="0.25">
      <c r="A145" s="1">
        <v>157</v>
      </c>
      <c r="B145" s="2">
        <v>45155</v>
      </c>
      <c r="C145">
        <v>0</v>
      </c>
      <c r="D145">
        <v>93456</v>
      </c>
      <c r="E145">
        <v>94481</v>
      </c>
      <c r="F145">
        <v>91700</v>
      </c>
      <c r="G145">
        <v>92692</v>
      </c>
      <c r="H145">
        <v>1970582</v>
      </c>
      <c r="I145">
        <v>2170.89</v>
      </c>
      <c r="J145">
        <v>0</v>
      </c>
      <c r="K145">
        <v>0</v>
      </c>
      <c r="L145">
        <v>708</v>
      </c>
      <c r="M145">
        <v>1416</v>
      </c>
      <c r="N145">
        <v>0</v>
      </c>
      <c r="O145">
        <v>816</v>
      </c>
      <c r="P145">
        <v>816</v>
      </c>
    </row>
    <row r="146" spans="1:16" x14ac:dyDescent="0.25">
      <c r="A146" s="1">
        <v>158</v>
      </c>
      <c r="B146" s="2">
        <v>45156</v>
      </c>
      <c r="C146">
        <v>0</v>
      </c>
      <c r="D146">
        <v>92596</v>
      </c>
      <c r="E146">
        <v>93157</v>
      </c>
      <c r="F146">
        <v>91529</v>
      </c>
      <c r="G146">
        <v>92960</v>
      </c>
      <c r="H146">
        <v>1302177</v>
      </c>
      <c r="I146">
        <v>2132.11</v>
      </c>
      <c r="J146">
        <v>1</v>
      </c>
      <c r="K146">
        <v>0</v>
      </c>
      <c r="L146">
        <v>724</v>
      </c>
      <c r="M146">
        <v>1447</v>
      </c>
      <c r="N146">
        <v>0</v>
      </c>
      <c r="O146">
        <v>-293</v>
      </c>
      <c r="P146">
        <v>-293</v>
      </c>
    </row>
    <row r="147" spans="1:16" x14ac:dyDescent="0.25">
      <c r="A147" s="1">
        <v>159</v>
      </c>
      <c r="B147" s="2">
        <v>45159</v>
      </c>
      <c r="C147">
        <v>0</v>
      </c>
      <c r="D147">
        <v>92703</v>
      </c>
      <c r="E147">
        <v>94027</v>
      </c>
      <c r="F147">
        <v>92222</v>
      </c>
      <c r="G147">
        <v>92745</v>
      </c>
      <c r="H147">
        <v>1565886</v>
      </c>
      <c r="I147">
        <v>2108.75</v>
      </c>
      <c r="J147">
        <v>1</v>
      </c>
      <c r="K147">
        <v>1</v>
      </c>
      <c r="L147">
        <v>711</v>
      </c>
      <c r="M147">
        <v>1421</v>
      </c>
      <c r="N147">
        <v>-2</v>
      </c>
      <c r="O147">
        <v>0</v>
      </c>
      <c r="P147">
        <v>-2</v>
      </c>
    </row>
    <row r="148" spans="1:16" x14ac:dyDescent="0.25">
      <c r="A148" s="1">
        <v>160</v>
      </c>
      <c r="B148" s="2">
        <v>45160</v>
      </c>
      <c r="C148">
        <v>0</v>
      </c>
      <c r="D148">
        <v>92859</v>
      </c>
      <c r="E148">
        <v>93669</v>
      </c>
      <c r="F148">
        <v>92741</v>
      </c>
      <c r="G148">
        <v>93396</v>
      </c>
      <c r="H148">
        <v>1170641</v>
      </c>
      <c r="I148">
        <v>2024.41</v>
      </c>
      <c r="J148">
        <v>1</v>
      </c>
      <c r="K148">
        <v>1</v>
      </c>
      <c r="L148">
        <v>703</v>
      </c>
      <c r="M148">
        <v>1406</v>
      </c>
      <c r="N148">
        <v>528</v>
      </c>
      <c r="O148">
        <v>0</v>
      </c>
      <c r="P148">
        <v>528</v>
      </c>
    </row>
    <row r="149" spans="1:16" x14ac:dyDescent="0.25">
      <c r="A149" s="1">
        <v>161</v>
      </c>
      <c r="B149" s="2">
        <v>45161</v>
      </c>
      <c r="C149">
        <v>0</v>
      </c>
      <c r="D149">
        <v>93498</v>
      </c>
      <c r="E149">
        <v>94390</v>
      </c>
      <c r="F149">
        <v>92901</v>
      </c>
      <c r="G149">
        <v>94341</v>
      </c>
      <c r="H149">
        <v>1481995</v>
      </c>
      <c r="I149">
        <v>1986.16</v>
      </c>
      <c r="J149">
        <v>1</v>
      </c>
      <c r="K149">
        <v>1</v>
      </c>
      <c r="L149">
        <v>675</v>
      </c>
      <c r="M149">
        <v>1350</v>
      </c>
      <c r="N149">
        <v>597</v>
      </c>
      <c r="O149">
        <v>0</v>
      </c>
      <c r="P149">
        <v>597</v>
      </c>
    </row>
    <row r="150" spans="1:16" x14ac:dyDescent="0.25">
      <c r="A150" s="1">
        <v>162</v>
      </c>
      <c r="B150" s="2">
        <v>45162</v>
      </c>
      <c r="C150">
        <v>0</v>
      </c>
      <c r="D150">
        <v>93902</v>
      </c>
      <c r="E150">
        <v>94296</v>
      </c>
      <c r="F150">
        <v>93542</v>
      </c>
      <c r="G150">
        <v>94150</v>
      </c>
      <c r="H150">
        <v>902368</v>
      </c>
      <c r="I150">
        <v>1901.37</v>
      </c>
      <c r="J150">
        <v>1</v>
      </c>
      <c r="K150">
        <v>1</v>
      </c>
      <c r="L150">
        <v>662</v>
      </c>
      <c r="M150">
        <v>1324</v>
      </c>
      <c r="N150">
        <v>204</v>
      </c>
      <c r="O150">
        <v>0</v>
      </c>
      <c r="P150">
        <v>204</v>
      </c>
    </row>
    <row r="151" spans="1:16" x14ac:dyDescent="0.25">
      <c r="A151" s="1">
        <v>163</v>
      </c>
      <c r="B151" s="2">
        <v>45163</v>
      </c>
      <c r="C151">
        <v>0</v>
      </c>
      <c r="D151">
        <v>94140</v>
      </c>
      <c r="E151">
        <v>95540</v>
      </c>
      <c r="F151">
        <v>93931</v>
      </c>
      <c r="G151">
        <v>95266</v>
      </c>
      <c r="H151">
        <v>1255659</v>
      </c>
      <c r="I151">
        <v>1880.48</v>
      </c>
      <c r="J151">
        <v>1</v>
      </c>
      <c r="K151">
        <v>1</v>
      </c>
      <c r="L151">
        <v>634</v>
      </c>
      <c r="M151">
        <v>1268</v>
      </c>
      <c r="N151">
        <v>1246</v>
      </c>
      <c r="O151">
        <v>0</v>
      </c>
      <c r="P151">
        <v>1246</v>
      </c>
    </row>
    <row r="152" spans="1:16" x14ac:dyDescent="0.25">
      <c r="A152" s="1">
        <v>164</v>
      </c>
      <c r="B152" s="2">
        <v>45166</v>
      </c>
      <c r="C152">
        <v>0</v>
      </c>
      <c r="D152">
        <v>95396</v>
      </c>
      <c r="E152">
        <v>95818</v>
      </c>
      <c r="F152">
        <v>95027</v>
      </c>
      <c r="G152">
        <v>95234</v>
      </c>
      <c r="H152">
        <v>1217451</v>
      </c>
      <c r="I152">
        <v>1802.66</v>
      </c>
      <c r="J152">
        <v>0</v>
      </c>
      <c r="K152">
        <v>1</v>
      </c>
      <c r="L152">
        <v>627</v>
      </c>
      <c r="M152">
        <v>1254</v>
      </c>
      <c r="N152">
        <v>-90</v>
      </c>
      <c r="O152">
        <v>0</v>
      </c>
      <c r="P152">
        <v>-90</v>
      </c>
    </row>
    <row r="153" spans="1:16" x14ac:dyDescent="0.25">
      <c r="A153" s="1">
        <v>165</v>
      </c>
      <c r="B153" s="2">
        <v>45167</v>
      </c>
      <c r="C153">
        <v>0</v>
      </c>
      <c r="D153">
        <v>95382</v>
      </c>
      <c r="E153">
        <v>96300</v>
      </c>
      <c r="F153">
        <v>95072</v>
      </c>
      <c r="G153">
        <v>95470</v>
      </c>
      <c r="H153">
        <v>1364097</v>
      </c>
      <c r="I153">
        <v>1761.62</v>
      </c>
      <c r="J153">
        <v>1</v>
      </c>
      <c r="K153">
        <v>0</v>
      </c>
      <c r="L153">
        <v>601</v>
      </c>
      <c r="M153">
        <v>1202</v>
      </c>
      <c r="N153">
        <v>0</v>
      </c>
      <c r="O153">
        <v>-57</v>
      </c>
      <c r="P153">
        <v>-57</v>
      </c>
    </row>
    <row r="154" spans="1:16" x14ac:dyDescent="0.25">
      <c r="A154" s="1">
        <v>166</v>
      </c>
      <c r="B154" s="2">
        <v>45168</v>
      </c>
      <c r="C154">
        <v>0</v>
      </c>
      <c r="D154">
        <v>95731</v>
      </c>
      <c r="E154">
        <v>96245</v>
      </c>
      <c r="F154">
        <v>95507</v>
      </c>
      <c r="G154">
        <v>96217</v>
      </c>
      <c r="H154">
        <v>763192</v>
      </c>
      <c r="I154">
        <v>1691.14</v>
      </c>
      <c r="J154">
        <v>1</v>
      </c>
      <c r="K154">
        <v>1</v>
      </c>
      <c r="L154">
        <v>587</v>
      </c>
      <c r="M154">
        <v>1174</v>
      </c>
      <c r="N154">
        <v>501</v>
      </c>
      <c r="O154">
        <v>0</v>
      </c>
      <c r="P154">
        <v>501</v>
      </c>
    </row>
    <row r="155" spans="1:16" x14ac:dyDescent="0.25">
      <c r="A155" s="1">
        <v>167</v>
      </c>
      <c r="B155" s="2">
        <v>45169</v>
      </c>
      <c r="C155">
        <v>0</v>
      </c>
      <c r="D155">
        <v>96300</v>
      </c>
      <c r="E155">
        <v>96423</v>
      </c>
      <c r="F155">
        <v>95342</v>
      </c>
      <c r="G155">
        <v>95825</v>
      </c>
      <c r="H155">
        <v>1125960</v>
      </c>
      <c r="I155">
        <v>1647.56</v>
      </c>
      <c r="J155">
        <v>0</v>
      </c>
      <c r="K155">
        <v>1</v>
      </c>
      <c r="L155">
        <v>564</v>
      </c>
      <c r="M155">
        <v>1127</v>
      </c>
      <c r="N155">
        <v>-432</v>
      </c>
      <c r="O155">
        <v>0</v>
      </c>
      <c r="P155">
        <v>-432</v>
      </c>
    </row>
    <row r="156" spans="1:16" x14ac:dyDescent="0.25">
      <c r="A156" s="1">
        <v>168</v>
      </c>
      <c r="B156" s="2">
        <v>45170</v>
      </c>
      <c r="C156">
        <v>0</v>
      </c>
      <c r="D156">
        <v>95902</v>
      </c>
      <c r="E156">
        <v>96643</v>
      </c>
      <c r="F156">
        <v>95550</v>
      </c>
      <c r="G156">
        <v>96139</v>
      </c>
      <c r="H156">
        <v>1356212</v>
      </c>
      <c r="I156">
        <v>1607.95</v>
      </c>
      <c r="J156">
        <v>1</v>
      </c>
      <c r="K156">
        <v>0</v>
      </c>
      <c r="L156">
        <v>549</v>
      </c>
      <c r="M156">
        <v>1098</v>
      </c>
      <c r="N156">
        <v>0</v>
      </c>
      <c r="O156">
        <v>-280</v>
      </c>
      <c r="P156">
        <v>-280</v>
      </c>
    </row>
    <row r="157" spans="1:16" x14ac:dyDescent="0.25">
      <c r="A157" s="1">
        <v>169</v>
      </c>
      <c r="B157" s="2">
        <v>45173</v>
      </c>
      <c r="C157">
        <v>0</v>
      </c>
      <c r="D157">
        <v>96182</v>
      </c>
      <c r="E157">
        <v>96894</v>
      </c>
      <c r="F157">
        <v>96111</v>
      </c>
      <c r="G157">
        <v>96855</v>
      </c>
      <c r="H157">
        <v>703039</v>
      </c>
      <c r="I157">
        <v>1549.02</v>
      </c>
      <c r="J157">
        <v>1</v>
      </c>
      <c r="K157">
        <v>1</v>
      </c>
      <c r="L157">
        <v>536</v>
      </c>
      <c r="M157">
        <v>1072</v>
      </c>
      <c r="N157">
        <v>683</v>
      </c>
      <c r="O157">
        <v>0</v>
      </c>
      <c r="P157">
        <v>683</v>
      </c>
    </row>
    <row r="158" spans="1:16" x14ac:dyDescent="0.25">
      <c r="A158" s="1">
        <v>170</v>
      </c>
      <c r="B158" s="2">
        <v>45174</v>
      </c>
      <c r="C158">
        <v>0</v>
      </c>
      <c r="D158">
        <v>96942</v>
      </c>
      <c r="E158">
        <v>97989</v>
      </c>
      <c r="F158">
        <v>96942</v>
      </c>
      <c r="G158">
        <v>97949</v>
      </c>
      <c r="H158">
        <v>885357</v>
      </c>
      <c r="I158">
        <v>1519.38</v>
      </c>
      <c r="J158">
        <v>1</v>
      </c>
      <c r="K158">
        <v>1</v>
      </c>
      <c r="L158">
        <v>516</v>
      </c>
      <c r="M158">
        <v>1033</v>
      </c>
      <c r="N158">
        <v>1033</v>
      </c>
      <c r="O158">
        <v>0</v>
      </c>
      <c r="P158">
        <v>1033</v>
      </c>
    </row>
    <row r="159" spans="1:16" x14ac:dyDescent="0.25">
      <c r="A159" s="1">
        <v>171</v>
      </c>
      <c r="B159" s="2">
        <v>45175</v>
      </c>
      <c r="C159">
        <v>0</v>
      </c>
      <c r="D159">
        <v>97949</v>
      </c>
      <c r="E159">
        <v>98499</v>
      </c>
      <c r="F159">
        <v>97309</v>
      </c>
      <c r="G159">
        <v>98262</v>
      </c>
      <c r="H159">
        <v>1240645</v>
      </c>
      <c r="I159">
        <v>1495.85</v>
      </c>
      <c r="J159">
        <v>1</v>
      </c>
      <c r="K159">
        <v>1</v>
      </c>
      <c r="L159">
        <v>506</v>
      </c>
      <c r="M159">
        <v>1013</v>
      </c>
      <c r="N159">
        <v>344</v>
      </c>
      <c r="O159">
        <v>0</v>
      </c>
      <c r="P159">
        <v>344</v>
      </c>
    </row>
    <row r="160" spans="1:16" x14ac:dyDescent="0.25">
      <c r="A160" s="1">
        <v>172</v>
      </c>
      <c r="B160" s="2">
        <v>45176</v>
      </c>
      <c r="C160">
        <v>0</v>
      </c>
      <c r="D160">
        <v>98264</v>
      </c>
      <c r="E160">
        <v>98655</v>
      </c>
      <c r="F160">
        <v>97116</v>
      </c>
      <c r="G160">
        <v>98346</v>
      </c>
      <c r="H160">
        <v>1572811</v>
      </c>
      <c r="I160">
        <v>1498.93</v>
      </c>
      <c r="J160">
        <v>1</v>
      </c>
      <c r="K160">
        <v>1</v>
      </c>
      <c r="L160">
        <v>499</v>
      </c>
      <c r="M160">
        <v>997</v>
      </c>
      <c r="N160">
        <v>180</v>
      </c>
      <c r="O160">
        <v>0</v>
      </c>
      <c r="P160">
        <v>180</v>
      </c>
    </row>
    <row r="161" spans="1:16" x14ac:dyDescent="0.25">
      <c r="A161" s="1">
        <v>173</v>
      </c>
      <c r="B161" s="2">
        <v>45177</v>
      </c>
      <c r="C161">
        <v>0</v>
      </c>
      <c r="D161">
        <v>98400</v>
      </c>
      <c r="E161">
        <v>98444</v>
      </c>
      <c r="F161">
        <v>97538</v>
      </c>
      <c r="G161">
        <v>97670</v>
      </c>
      <c r="H161">
        <v>1064091</v>
      </c>
      <c r="I161">
        <v>1456.58</v>
      </c>
      <c r="J161">
        <v>0</v>
      </c>
      <c r="K161">
        <v>1</v>
      </c>
      <c r="L161">
        <v>500</v>
      </c>
      <c r="M161">
        <v>999</v>
      </c>
      <c r="N161">
        <v>500</v>
      </c>
      <c r="O161">
        <v>0</v>
      </c>
      <c r="P161">
        <v>500</v>
      </c>
    </row>
    <row r="162" spans="1:16" x14ac:dyDescent="0.25">
      <c r="A162" s="1">
        <v>174</v>
      </c>
      <c r="B162" s="2">
        <v>45180</v>
      </c>
      <c r="C162">
        <v>0</v>
      </c>
      <c r="D162">
        <v>97320</v>
      </c>
      <c r="E162">
        <v>97320</v>
      </c>
      <c r="F162">
        <v>94676</v>
      </c>
      <c r="G162">
        <v>94796</v>
      </c>
      <c r="H162">
        <v>1675899</v>
      </c>
      <c r="I162">
        <v>1566.4</v>
      </c>
      <c r="J162">
        <v>0</v>
      </c>
      <c r="K162">
        <v>0</v>
      </c>
      <c r="L162">
        <v>486</v>
      </c>
      <c r="M162">
        <v>971</v>
      </c>
      <c r="N162">
        <v>0</v>
      </c>
      <c r="O162">
        <v>971</v>
      </c>
      <c r="P162">
        <v>971</v>
      </c>
    </row>
    <row r="163" spans="1:16" x14ac:dyDescent="0.25">
      <c r="A163" s="1">
        <v>175</v>
      </c>
      <c r="B163" s="2">
        <v>45181</v>
      </c>
      <c r="C163">
        <v>0</v>
      </c>
      <c r="D163">
        <v>94095</v>
      </c>
      <c r="E163">
        <v>95548</v>
      </c>
      <c r="F163">
        <v>93744</v>
      </c>
      <c r="G163">
        <v>95148</v>
      </c>
      <c r="H163">
        <v>1816171</v>
      </c>
      <c r="I163">
        <v>1583.37</v>
      </c>
      <c r="J163">
        <v>1</v>
      </c>
      <c r="K163">
        <v>0</v>
      </c>
      <c r="L163">
        <v>522</v>
      </c>
      <c r="M163">
        <v>1044</v>
      </c>
      <c r="N163">
        <v>0</v>
      </c>
      <c r="O163">
        <v>522</v>
      </c>
      <c r="P163">
        <v>522</v>
      </c>
    </row>
    <row r="164" spans="1:16" x14ac:dyDescent="0.25">
      <c r="A164" s="1">
        <v>176</v>
      </c>
      <c r="B164" s="2">
        <v>45182</v>
      </c>
      <c r="C164">
        <v>0</v>
      </c>
      <c r="D164">
        <v>95162</v>
      </c>
      <c r="E164">
        <v>96739</v>
      </c>
      <c r="F164">
        <v>95162</v>
      </c>
      <c r="G164">
        <v>96408</v>
      </c>
      <c r="H164">
        <v>956945</v>
      </c>
      <c r="I164">
        <v>1583.91</v>
      </c>
      <c r="J164">
        <v>1</v>
      </c>
      <c r="K164">
        <v>1</v>
      </c>
      <c r="L164">
        <v>528</v>
      </c>
      <c r="M164">
        <v>1056</v>
      </c>
      <c r="N164">
        <v>1056</v>
      </c>
      <c r="O164">
        <v>0</v>
      </c>
      <c r="P164">
        <v>1056</v>
      </c>
    </row>
    <row r="165" spans="1:16" x14ac:dyDescent="0.25">
      <c r="A165" s="1">
        <v>177</v>
      </c>
      <c r="B165" s="2">
        <v>45183</v>
      </c>
      <c r="C165">
        <v>0</v>
      </c>
      <c r="D165">
        <v>96468</v>
      </c>
      <c r="E165">
        <v>97049</v>
      </c>
      <c r="F165">
        <v>95653</v>
      </c>
      <c r="G165">
        <v>96634</v>
      </c>
      <c r="H165">
        <v>2088277</v>
      </c>
      <c r="I165">
        <v>1570.49</v>
      </c>
      <c r="J165">
        <v>1</v>
      </c>
      <c r="K165">
        <v>1</v>
      </c>
      <c r="L165">
        <v>528</v>
      </c>
      <c r="M165">
        <v>1056</v>
      </c>
      <c r="N165">
        <v>176</v>
      </c>
      <c r="O165">
        <v>0</v>
      </c>
      <c r="P165">
        <v>176</v>
      </c>
    </row>
    <row r="166" spans="1:16" x14ac:dyDescent="0.25">
      <c r="A166" s="1">
        <v>178</v>
      </c>
      <c r="B166" s="2">
        <v>45184</v>
      </c>
      <c r="C166">
        <v>0</v>
      </c>
      <c r="D166">
        <v>96660</v>
      </c>
      <c r="E166">
        <v>97298</v>
      </c>
      <c r="F166">
        <v>95957</v>
      </c>
      <c r="G166">
        <v>96500</v>
      </c>
      <c r="H166">
        <v>1793238</v>
      </c>
      <c r="I166">
        <v>1554.1</v>
      </c>
      <c r="J166">
        <v>0</v>
      </c>
      <c r="K166">
        <v>1</v>
      </c>
      <c r="L166">
        <v>523</v>
      </c>
      <c r="M166">
        <v>1047</v>
      </c>
      <c r="N166">
        <v>-66</v>
      </c>
      <c r="O166">
        <v>0</v>
      </c>
      <c r="P166">
        <v>-66</v>
      </c>
    </row>
    <row r="167" spans="1:16" x14ac:dyDescent="0.25">
      <c r="A167" s="1">
        <v>179</v>
      </c>
      <c r="B167" s="2">
        <v>45187</v>
      </c>
      <c r="C167">
        <v>0</v>
      </c>
      <c r="D167">
        <v>96520</v>
      </c>
      <c r="E167">
        <v>97203</v>
      </c>
      <c r="F167">
        <v>96268</v>
      </c>
      <c r="G167">
        <v>96389</v>
      </c>
      <c r="H167">
        <v>1292019</v>
      </c>
      <c r="I167">
        <v>1509.88</v>
      </c>
      <c r="J167">
        <v>0</v>
      </c>
      <c r="K167">
        <v>0</v>
      </c>
      <c r="L167">
        <v>518</v>
      </c>
      <c r="M167">
        <v>1036</v>
      </c>
      <c r="N167">
        <v>0</v>
      </c>
      <c r="O167">
        <v>100</v>
      </c>
      <c r="P167">
        <v>100</v>
      </c>
    </row>
    <row r="168" spans="1:16" x14ac:dyDescent="0.25">
      <c r="A168" s="1">
        <v>180</v>
      </c>
      <c r="B168" s="2">
        <v>45188</v>
      </c>
      <c r="C168">
        <v>0</v>
      </c>
      <c r="D168">
        <v>96399</v>
      </c>
      <c r="E168">
        <v>97644</v>
      </c>
      <c r="F168">
        <v>95880</v>
      </c>
      <c r="G168">
        <v>96821</v>
      </c>
      <c r="H168">
        <v>1125280</v>
      </c>
      <c r="I168">
        <v>1528.03</v>
      </c>
      <c r="J168">
        <v>1</v>
      </c>
      <c r="K168">
        <v>0</v>
      </c>
      <c r="L168">
        <v>503</v>
      </c>
      <c r="M168">
        <v>1007</v>
      </c>
      <c r="N168">
        <v>0</v>
      </c>
      <c r="O168">
        <v>-429</v>
      </c>
      <c r="P168">
        <v>-429</v>
      </c>
    </row>
    <row r="169" spans="1:16" x14ac:dyDescent="0.25">
      <c r="A169" s="1">
        <v>181</v>
      </c>
      <c r="B169" s="2">
        <v>45189</v>
      </c>
      <c r="C169">
        <v>0</v>
      </c>
      <c r="D169">
        <v>95445</v>
      </c>
      <c r="E169">
        <v>95843</v>
      </c>
      <c r="F169">
        <v>94440</v>
      </c>
      <c r="G169">
        <v>94660</v>
      </c>
      <c r="H169">
        <v>999263</v>
      </c>
      <c r="I169">
        <v>1588.96</v>
      </c>
      <c r="J169">
        <v>0</v>
      </c>
      <c r="K169">
        <v>1</v>
      </c>
      <c r="L169">
        <v>509</v>
      </c>
      <c r="M169">
        <v>1019</v>
      </c>
      <c r="N169">
        <v>509</v>
      </c>
      <c r="O169">
        <v>0</v>
      </c>
      <c r="P169">
        <v>509</v>
      </c>
    </row>
    <row r="170" spans="1:16" x14ac:dyDescent="0.25">
      <c r="A170" s="1">
        <v>182</v>
      </c>
      <c r="B170" s="2">
        <v>45190</v>
      </c>
      <c r="C170">
        <v>0</v>
      </c>
      <c r="D170">
        <v>94665</v>
      </c>
      <c r="E170">
        <v>95640</v>
      </c>
      <c r="F170">
        <v>93889</v>
      </c>
      <c r="G170">
        <v>95274</v>
      </c>
      <c r="H170">
        <v>1662869</v>
      </c>
      <c r="I170">
        <v>1600.53</v>
      </c>
      <c r="J170">
        <v>1</v>
      </c>
      <c r="K170">
        <v>0</v>
      </c>
      <c r="L170">
        <v>530</v>
      </c>
      <c r="M170">
        <v>1059</v>
      </c>
      <c r="N170">
        <v>0</v>
      </c>
      <c r="O170">
        <v>-607</v>
      </c>
      <c r="P170">
        <v>-607</v>
      </c>
    </row>
    <row r="171" spans="1:16" x14ac:dyDescent="0.25">
      <c r="A171" s="1">
        <v>183</v>
      </c>
      <c r="B171" s="2">
        <v>45191</v>
      </c>
      <c r="C171">
        <v>0</v>
      </c>
      <c r="D171">
        <v>95300</v>
      </c>
      <c r="E171">
        <v>95969</v>
      </c>
      <c r="F171">
        <v>95138</v>
      </c>
      <c r="G171">
        <v>95888</v>
      </c>
      <c r="H171">
        <v>853908</v>
      </c>
      <c r="I171">
        <v>1545.56</v>
      </c>
      <c r="J171">
        <v>1</v>
      </c>
      <c r="K171">
        <v>1</v>
      </c>
      <c r="L171">
        <v>534</v>
      </c>
      <c r="M171">
        <v>1067</v>
      </c>
      <c r="N171">
        <v>493</v>
      </c>
      <c r="O171">
        <v>0</v>
      </c>
      <c r="P171">
        <v>493</v>
      </c>
    </row>
    <row r="172" spans="1:16" x14ac:dyDescent="0.25">
      <c r="A172" s="1">
        <v>184</v>
      </c>
      <c r="B172" s="2">
        <v>45194</v>
      </c>
      <c r="C172">
        <v>0</v>
      </c>
      <c r="D172">
        <v>95875</v>
      </c>
      <c r="E172">
        <v>96112</v>
      </c>
      <c r="F172">
        <v>95084</v>
      </c>
      <c r="G172">
        <v>95862</v>
      </c>
      <c r="H172">
        <v>866284</v>
      </c>
      <c r="I172">
        <v>1508.6</v>
      </c>
      <c r="J172">
        <v>0</v>
      </c>
      <c r="K172">
        <v>1</v>
      </c>
      <c r="L172">
        <v>515</v>
      </c>
      <c r="M172">
        <v>1030</v>
      </c>
      <c r="N172">
        <v>55</v>
      </c>
      <c r="O172">
        <v>0</v>
      </c>
      <c r="P172">
        <v>55</v>
      </c>
    </row>
    <row r="173" spans="1:16" x14ac:dyDescent="0.25">
      <c r="A173" s="1">
        <v>185</v>
      </c>
      <c r="B173" s="2">
        <v>45195</v>
      </c>
      <c r="C173">
        <v>0</v>
      </c>
      <c r="D173">
        <v>95922</v>
      </c>
      <c r="E173">
        <v>96320</v>
      </c>
      <c r="F173">
        <v>95710</v>
      </c>
      <c r="G173">
        <v>96189</v>
      </c>
      <c r="H173">
        <v>547203</v>
      </c>
      <c r="I173">
        <v>1444.41</v>
      </c>
      <c r="J173">
        <v>1</v>
      </c>
      <c r="K173">
        <v>0</v>
      </c>
      <c r="L173">
        <v>503</v>
      </c>
      <c r="M173">
        <v>1006</v>
      </c>
      <c r="N173">
        <v>0</v>
      </c>
      <c r="O173">
        <v>-343</v>
      </c>
      <c r="P173">
        <v>-343</v>
      </c>
    </row>
    <row r="174" spans="1:16" x14ac:dyDescent="0.25">
      <c r="A174" s="1">
        <v>186</v>
      </c>
      <c r="B174" s="2">
        <v>45196</v>
      </c>
      <c r="C174">
        <v>0</v>
      </c>
      <c r="D174">
        <v>96162</v>
      </c>
      <c r="E174">
        <v>96666</v>
      </c>
      <c r="F174">
        <v>95800</v>
      </c>
      <c r="G174">
        <v>96589</v>
      </c>
      <c r="H174">
        <v>762321</v>
      </c>
      <c r="I174">
        <v>1403.1</v>
      </c>
      <c r="J174">
        <v>1</v>
      </c>
      <c r="K174">
        <v>1</v>
      </c>
      <c r="L174">
        <v>481</v>
      </c>
      <c r="M174">
        <v>963</v>
      </c>
      <c r="N174">
        <v>454</v>
      </c>
      <c r="O174">
        <v>0</v>
      </c>
      <c r="P174">
        <v>454</v>
      </c>
    </row>
    <row r="175" spans="1:16" x14ac:dyDescent="0.25">
      <c r="A175" s="1">
        <v>187</v>
      </c>
      <c r="B175" s="2">
        <v>45197</v>
      </c>
      <c r="C175">
        <v>0</v>
      </c>
      <c r="D175">
        <v>96586</v>
      </c>
      <c r="E175">
        <v>97336</v>
      </c>
      <c r="F175">
        <v>96282</v>
      </c>
      <c r="G175">
        <v>97031</v>
      </c>
      <c r="H175">
        <v>774698</v>
      </c>
      <c r="I175">
        <v>1378.16</v>
      </c>
      <c r="J175">
        <v>1</v>
      </c>
      <c r="K175">
        <v>1</v>
      </c>
      <c r="L175">
        <v>468</v>
      </c>
      <c r="M175">
        <v>935</v>
      </c>
      <c r="N175">
        <v>531</v>
      </c>
      <c r="O175">
        <v>0</v>
      </c>
      <c r="P175">
        <v>531</v>
      </c>
    </row>
    <row r="176" spans="1:16" x14ac:dyDescent="0.25">
      <c r="A176" s="1">
        <v>188</v>
      </c>
      <c r="B176" s="2">
        <v>45198</v>
      </c>
      <c r="C176">
        <v>0</v>
      </c>
      <c r="D176">
        <v>97064</v>
      </c>
      <c r="E176">
        <v>98470</v>
      </c>
      <c r="F176">
        <v>97003</v>
      </c>
      <c r="G176">
        <v>98460</v>
      </c>
      <c r="H176">
        <v>875680</v>
      </c>
      <c r="I176">
        <v>1384.51</v>
      </c>
      <c r="J176">
        <v>1</v>
      </c>
      <c r="K176">
        <v>1</v>
      </c>
      <c r="L176">
        <v>459</v>
      </c>
      <c r="M176">
        <v>919</v>
      </c>
      <c r="N176">
        <v>919</v>
      </c>
      <c r="O176">
        <v>0</v>
      </c>
      <c r="P176">
        <v>919</v>
      </c>
    </row>
    <row r="177" spans="1:16" x14ac:dyDescent="0.25">
      <c r="A177" s="1">
        <v>189</v>
      </c>
      <c r="B177" s="2">
        <v>45201</v>
      </c>
      <c r="C177">
        <v>0</v>
      </c>
      <c r="D177">
        <v>98469</v>
      </c>
      <c r="E177">
        <v>99900</v>
      </c>
      <c r="F177">
        <v>98000</v>
      </c>
      <c r="G177">
        <v>99882</v>
      </c>
      <c r="H177">
        <v>1106386</v>
      </c>
      <c r="I177">
        <v>1421.33</v>
      </c>
      <c r="J177">
        <v>1</v>
      </c>
      <c r="K177">
        <v>1</v>
      </c>
      <c r="L177">
        <v>462</v>
      </c>
      <c r="M177">
        <v>923</v>
      </c>
      <c r="N177">
        <v>923</v>
      </c>
      <c r="O177">
        <v>0</v>
      </c>
      <c r="P177">
        <v>923</v>
      </c>
    </row>
    <row r="178" spans="1:16" x14ac:dyDescent="0.25">
      <c r="A178" s="1">
        <v>190</v>
      </c>
      <c r="B178" s="2">
        <v>45202</v>
      </c>
      <c r="C178">
        <v>0</v>
      </c>
      <c r="D178">
        <v>99858</v>
      </c>
      <c r="E178">
        <v>99951</v>
      </c>
      <c r="F178">
        <v>98939</v>
      </c>
      <c r="G178">
        <v>99430</v>
      </c>
      <c r="H178">
        <v>964926</v>
      </c>
      <c r="I178">
        <v>1392.09</v>
      </c>
      <c r="J178">
        <v>0</v>
      </c>
      <c r="K178">
        <v>1</v>
      </c>
      <c r="L178">
        <v>474</v>
      </c>
      <c r="M178">
        <v>948</v>
      </c>
      <c r="N178">
        <v>-409</v>
      </c>
      <c r="O178">
        <v>0</v>
      </c>
      <c r="P178">
        <v>-409</v>
      </c>
    </row>
    <row r="179" spans="1:16" x14ac:dyDescent="0.25">
      <c r="A179" s="1">
        <v>191</v>
      </c>
      <c r="B179" s="2">
        <v>45203</v>
      </c>
      <c r="C179">
        <v>0</v>
      </c>
      <c r="D179">
        <v>99454</v>
      </c>
      <c r="E179">
        <v>100234</v>
      </c>
      <c r="F179">
        <v>99031</v>
      </c>
      <c r="G179">
        <v>99799</v>
      </c>
      <c r="H179">
        <v>936274</v>
      </c>
      <c r="I179">
        <v>1378.58</v>
      </c>
      <c r="J179">
        <v>1</v>
      </c>
      <c r="K179">
        <v>0</v>
      </c>
      <c r="L179">
        <v>464</v>
      </c>
      <c r="M179">
        <v>928</v>
      </c>
      <c r="N179">
        <v>0</v>
      </c>
      <c r="O179">
        <v>-373</v>
      </c>
      <c r="P179">
        <v>-373</v>
      </c>
    </row>
    <row r="180" spans="1:16" x14ac:dyDescent="0.25">
      <c r="A180" s="1">
        <v>192</v>
      </c>
      <c r="B180" s="2">
        <v>45204</v>
      </c>
      <c r="C180">
        <v>0</v>
      </c>
      <c r="D180">
        <v>99794</v>
      </c>
      <c r="E180">
        <v>101390</v>
      </c>
      <c r="F180">
        <v>99618</v>
      </c>
      <c r="G180">
        <v>101189</v>
      </c>
      <c r="H180">
        <v>1076606</v>
      </c>
      <c r="I180">
        <v>1406.68</v>
      </c>
      <c r="J180">
        <v>1</v>
      </c>
      <c r="K180">
        <v>1</v>
      </c>
      <c r="L180">
        <v>460</v>
      </c>
      <c r="M180">
        <v>919</v>
      </c>
      <c r="N180">
        <v>919</v>
      </c>
      <c r="O180">
        <v>0</v>
      </c>
      <c r="P180">
        <v>919</v>
      </c>
    </row>
    <row r="181" spans="1:16" x14ac:dyDescent="0.25">
      <c r="A181" s="1">
        <v>193</v>
      </c>
      <c r="B181" s="2">
        <v>45205</v>
      </c>
      <c r="C181">
        <v>0</v>
      </c>
      <c r="D181">
        <v>101229</v>
      </c>
      <c r="E181">
        <v>101854</v>
      </c>
      <c r="F181">
        <v>99807</v>
      </c>
      <c r="G181">
        <v>100449</v>
      </c>
      <c r="H181">
        <v>1713821</v>
      </c>
      <c r="I181">
        <v>1452.42</v>
      </c>
      <c r="J181">
        <v>0</v>
      </c>
      <c r="K181">
        <v>1</v>
      </c>
      <c r="L181">
        <v>469</v>
      </c>
      <c r="M181">
        <v>938</v>
      </c>
      <c r="N181">
        <v>469</v>
      </c>
      <c r="O181">
        <v>0</v>
      </c>
      <c r="P181">
        <v>469</v>
      </c>
    </row>
    <row r="182" spans="1:16" x14ac:dyDescent="0.25">
      <c r="A182" s="1">
        <v>194</v>
      </c>
      <c r="B182" s="2">
        <v>45208</v>
      </c>
      <c r="C182">
        <v>0</v>
      </c>
      <c r="D182">
        <v>100450</v>
      </c>
      <c r="E182">
        <v>102577</v>
      </c>
      <c r="F182">
        <v>98555</v>
      </c>
      <c r="G182">
        <v>98781</v>
      </c>
      <c r="H182">
        <v>2050548</v>
      </c>
      <c r="I182">
        <v>1635.96</v>
      </c>
      <c r="J182">
        <v>0</v>
      </c>
      <c r="K182">
        <v>0</v>
      </c>
      <c r="L182">
        <v>484</v>
      </c>
      <c r="M182">
        <v>968</v>
      </c>
      <c r="N182">
        <v>0</v>
      </c>
      <c r="O182">
        <v>968</v>
      </c>
      <c r="P182">
        <v>968</v>
      </c>
    </row>
    <row r="183" spans="1:16" x14ac:dyDescent="0.25">
      <c r="A183" s="1">
        <v>195</v>
      </c>
      <c r="B183" s="2">
        <v>45209</v>
      </c>
      <c r="C183">
        <v>0</v>
      </c>
      <c r="D183">
        <v>98828</v>
      </c>
      <c r="E183">
        <v>100687</v>
      </c>
      <c r="F183">
        <v>98828</v>
      </c>
      <c r="G183">
        <v>100588</v>
      </c>
      <c r="H183">
        <v>1476269</v>
      </c>
      <c r="I183">
        <v>1655.25</v>
      </c>
      <c r="J183">
        <v>1</v>
      </c>
      <c r="K183">
        <v>0</v>
      </c>
      <c r="L183">
        <v>545</v>
      </c>
      <c r="M183">
        <v>1091</v>
      </c>
      <c r="N183">
        <v>0</v>
      </c>
      <c r="O183">
        <v>545</v>
      </c>
      <c r="P183">
        <v>545</v>
      </c>
    </row>
    <row r="184" spans="1:16" x14ac:dyDescent="0.25">
      <c r="A184" s="1">
        <v>196</v>
      </c>
      <c r="B184" s="2">
        <v>45210</v>
      </c>
      <c r="C184">
        <v>0</v>
      </c>
      <c r="D184">
        <v>100526</v>
      </c>
      <c r="E184">
        <v>101031</v>
      </c>
      <c r="F184">
        <v>97030</v>
      </c>
      <c r="G184">
        <v>97398</v>
      </c>
      <c r="H184">
        <v>1621098</v>
      </c>
      <c r="I184">
        <v>1822.8</v>
      </c>
      <c r="J184">
        <v>0</v>
      </c>
      <c r="K184">
        <v>1</v>
      </c>
      <c r="L184">
        <v>552</v>
      </c>
      <c r="M184">
        <v>1104</v>
      </c>
      <c r="N184">
        <v>552</v>
      </c>
      <c r="O184">
        <v>0</v>
      </c>
      <c r="P184">
        <v>552</v>
      </c>
    </row>
    <row r="185" spans="1:16" x14ac:dyDescent="0.25">
      <c r="A185" s="1">
        <v>197</v>
      </c>
      <c r="B185" s="2">
        <v>45211</v>
      </c>
      <c r="C185">
        <v>0</v>
      </c>
      <c r="D185">
        <v>97399</v>
      </c>
      <c r="E185">
        <v>98517</v>
      </c>
      <c r="F185">
        <v>96850</v>
      </c>
      <c r="G185">
        <v>98153</v>
      </c>
      <c r="H185">
        <v>1698941</v>
      </c>
      <c r="I185">
        <v>1811.68</v>
      </c>
      <c r="J185">
        <v>1</v>
      </c>
      <c r="K185">
        <v>0</v>
      </c>
      <c r="L185">
        <v>608</v>
      </c>
      <c r="M185">
        <v>1215</v>
      </c>
      <c r="N185">
        <v>0</v>
      </c>
      <c r="O185">
        <v>-743</v>
      </c>
      <c r="P185">
        <v>-743</v>
      </c>
    </row>
    <row r="186" spans="1:16" x14ac:dyDescent="0.25">
      <c r="A186" s="1">
        <v>198</v>
      </c>
      <c r="B186" s="2">
        <v>45212</v>
      </c>
      <c r="C186">
        <v>0</v>
      </c>
      <c r="D186">
        <v>98188</v>
      </c>
      <c r="E186">
        <v>98650</v>
      </c>
      <c r="F186">
        <v>97372</v>
      </c>
      <c r="G186">
        <v>97830</v>
      </c>
      <c r="H186">
        <v>1154802</v>
      </c>
      <c r="I186">
        <v>1773.56</v>
      </c>
      <c r="J186">
        <v>0</v>
      </c>
      <c r="K186">
        <v>1</v>
      </c>
      <c r="L186">
        <v>604</v>
      </c>
      <c r="M186">
        <v>1208</v>
      </c>
      <c r="N186">
        <v>-491</v>
      </c>
      <c r="O186">
        <v>0</v>
      </c>
      <c r="P186">
        <v>-491</v>
      </c>
    </row>
    <row r="187" spans="1:16" x14ac:dyDescent="0.25">
      <c r="A187" s="1">
        <v>199</v>
      </c>
      <c r="B187" s="2">
        <v>45215</v>
      </c>
      <c r="C187">
        <v>0</v>
      </c>
      <c r="D187">
        <v>97830</v>
      </c>
      <c r="E187">
        <v>98156</v>
      </c>
      <c r="F187">
        <v>97428</v>
      </c>
      <c r="G187">
        <v>97825</v>
      </c>
      <c r="H187">
        <v>786904</v>
      </c>
      <c r="I187">
        <v>1698.87</v>
      </c>
      <c r="J187">
        <v>0</v>
      </c>
      <c r="K187">
        <v>0</v>
      </c>
      <c r="L187">
        <v>591</v>
      </c>
      <c r="M187">
        <v>1182</v>
      </c>
      <c r="N187">
        <v>0</v>
      </c>
      <c r="O187">
        <v>-103</v>
      </c>
      <c r="P187">
        <v>-103</v>
      </c>
    </row>
    <row r="188" spans="1:16" x14ac:dyDescent="0.25">
      <c r="A188" s="1">
        <v>200</v>
      </c>
      <c r="B188" s="2">
        <v>45216</v>
      </c>
      <c r="C188">
        <v>0</v>
      </c>
      <c r="D188">
        <v>97895</v>
      </c>
      <c r="E188">
        <v>98798</v>
      </c>
      <c r="F188">
        <v>97653</v>
      </c>
      <c r="G188">
        <v>98736</v>
      </c>
      <c r="H188">
        <v>888759</v>
      </c>
      <c r="I188">
        <v>1659.31</v>
      </c>
      <c r="J188">
        <v>1</v>
      </c>
      <c r="K188">
        <v>0</v>
      </c>
      <c r="L188">
        <v>566</v>
      </c>
      <c r="M188">
        <v>1133</v>
      </c>
      <c r="N188">
        <v>0</v>
      </c>
      <c r="O188">
        <v>-826</v>
      </c>
      <c r="P188">
        <v>-826</v>
      </c>
    </row>
    <row r="189" spans="1:16" x14ac:dyDescent="0.25">
      <c r="A189" s="1">
        <v>201</v>
      </c>
      <c r="B189" s="2">
        <v>45217</v>
      </c>
      <c r="C189">
        <v>0</v>
      </c>
      <c r="D189">
        <v>98735</v>
      </c>
      <c r="E189">
        <v>98735</v>
      </c>
      <c r="F189">
        <v>98060</v>
      </c>
      <c r="G189">
        <v>98468</v>
      </c>
      <c r="H189">
        <v>911172</v>
      </c>
      <c r="I189">
        <v>1589.07</v>
      </c>
      <c r="J189">
        <v>0</v>
      </c>
      <c r="K189">
        <v>1</v>
      </c>
      <c r="L189">
        <v>553</v>
      </c>
      <c r="M189">
        <v>1106</v>
      </c>
      <c r="N189">
        <v>-247</v>
      </c>
      <c r="O189">
        <v>0</v>
      </c>
      <c r="P189">
        <v>-247</v>
      </c>
    </row>
    <row r="190" spans="1:16" x14ac:dyDescent="0.25">
      <c r="A190" s="1">
        <v>202</v>
      </c>
      <c r="B190" s="2">
        <v>45218</v>
      </c>
      <c r="C190">
        <v>0</v>
      </c>
      <c r="D190">
        <v>98496</v>
      </c>
      <c r="E190">
        <v>98685</v>
      </c>
      <c r="F190">
        <v>97656</v>
      </c>
      <c r="G190">
        <v>97709</v>
      </c>
      <c r="H190">
        <v>936776</v>
      </c>
      <c r="I190">
        <v>1549.07</v>
      </c>
      <c r="J190">
        <v>0</v>
      </c>
      <c r="K190">
        <v>0</v>
      </c>
      <c r="L190">
        <v>530</v>
      </c>
      <c r="M190">
        <v>1059</v>
      </c>
      <c r="N190">
        <v>0</v>
      </c>
      <c r="O190">
        <v>682</v>
      </c>
      <c r="P190">
        <v>682</v>
      </c>
    </row>
    <row r="191" spans="1:16" x14ac:dyDescent="0.25">
      <c r="A191" s="1">
        <v>203</v>
      </c>
      <c r="B191" s="2">
        <v>45219</v>
      </c>
      <c r="C191">
        <v>0</v>
      </c>
      <c r="D191">
        <v>97735</v>
      </c>
      <c r="E191">
        <v>97818</v>
      </c>
      <c r="F191">
        <v>96138</v>
      </c>
      <c r="G191">
        <v>96459</v>
      </c>
      <c r="H191">
        <v>1013086</v>
      </c>
      <c r="I191">
        <v>1558.42</v>
      </c>
      <c r="J191">
        <v>0</v>
      </c>
      <c r="K191">
        <v>0</v>
      </c>
      <c r="L191">
        <v>516</v>
      </c>
      <c r="M191">
        <v>1033</v>
      </c>
      <c r="N191">
        <v>0</v>
      </c>
      <c r="O191">
        <v>1033</v>
      </c>
      <c r="P191">
        <v>1033</v>
      </c>
    </row>
    <row r="192" spans="1:16" x14ac:dyDescent="0.25">
      <c r="A192" s="1">
        <v>204</v>
      </c>
      <c r="B192" s="2">
        <v>45222</v>
      </c>
      <c r="C192">
        <v>0</v>
      </c>
      <c r="D192">
        <v>96460</v>
      </c>
      <c r="E192">
        <v>96780</v>
      </c>
      <c r="F192">
        <v>95192</v>
      </c>
      <c r="G192">
        <v>95354</v>
      </c>
      <c r="H192">
        <v>943978</v>
      </c>
      <c r="I192">
        <v>1560.53</v>
      </c>
      <c r="J192">
        <v>0</v>
      </c>
      <c r="K192">
        <v>0</v>
      </c>
      <c r="L192">
        <v>519</v>
      </c>
      <c r="M192">
        <v>1039</v>
      </c>
      <c r="N192">
        <v>0</v>
      </c>
      <c r="O192">
        <v>1039</v>
      </c>
      <c r="P192">
        <v>1039</v>
      </c>
    </row>
    <row r="193" spans="1:16" x14ac:dyDescent="0.25">
      <c r="A193" s="1">
        <v>205</v>
      </c>
      <c r="B193" s="2">
        <v>45223</v>
      </c>
      <c r="C193">
        <v>0</v>
      </c>
      <c r="D193">
        <v>95298</v>
      </c>
      <c r="E193">
        <v>95298</v>
      </c>
      <c r="F193">
        <v>94162</v>
      </c>
      <c r="G193">
        <v>94259</v>
      </c>
      <c r="H193">
        <v>886596</v>
      </c>
      <c r="I193">
        <v>1534.21</v>
      </c>
      <c r="J193">
        <v>0</v>
      </c>
      <c r="K193">
        <v>0</v>
      </c>
      <c r="L193">
        <v>520</v>
      </c>
      <c r="M193">
        <v>1040</v>
      </c>
      <c r="N193">
        <v>0</v>
      </c>
      <c r="O193">
        <v>1040</v>
      </c>
      <c r="P193">
        <v>1040</v>
      </c>
    </row>
    <row r="194" spans="1:16" x14ac:dyDescent="0.25">
      <c r="A194" s="1">
        <v>206</v>
      </c>
      <c r="B194" s="2">
        <v>45224</v>
      </c>
      <c r="C194">
        <v>0</v>
      </c>
      <c r="D194">
        <v>94240</v>
      </c>
      <c r="E194">
        <v>94649</v>
      </c>
      <c r="F194">
        <v>93901</v>
      </c>
      <c r="G194">
        <v>94449</v>
      </c>
      <c r="H194">
        <v>1177070</v>
      </c>
      <c r="I194">
        <v>1478.05</v>
      </c>
      <c r="J194">
        <v>1</v>
      </c>
      <c r="K194">
        <v>0</v>
      </c>
      <c r="L194">
        <v>511</v>
      </c>
      <c r="M194">
        <v>1023</v>
      </c>
      <c r="N194">
        <v>0</v>
      </c>
      <c r="O194">
        <v>-179</v>
      </c>
      <c r="P194">
        <v>-179</v>
      </c>
    </row>
    <row r="195" spans="1:16" x14ac:dyDescent="0.25">
      <c r="A195" s="1">
        <v>207</v>
      </c>
      <c r="B195" s="2">
        <v>45225</v>
      </c>
      <c r="C195">
        <v>0</v>
      </c>
      <c r="D195">
        <v>94456</v>
      </c>
      <c r="E195">
        <v>95290</v>
      </c>
      <c r="F195">
        <v>94456</v>
      </c>
      <c r="G195">
        <v>95161</v>
      </c>
      <c r="H195">
        <v>931209</v>
      </c>
      <c r="I195">
        <v>1432.55</v>
      </c>
      <c r="J195">
        <v>1</v>
      </c>
      <c r="K195">
        <v>1</v>
      </c>
      <c r="L195">
        <v>493</v>
      </c>
      <c r="M195">
        <v>985</v>
      </c>
      <c r="N195">
        <v>799</v>
      </c>
      <c r="O195">
        <v>0</v>
      </c>
      <c r="P195">
        <v>799</v>
      </c>
    </row>
    <row r="196" spans="1:16" x14ac:dyDescent="0.25">
      <c r="A196" s="1">
        <v>208</v>
      </c>
      <c r="B196" s="2">
        <v>45226</v>
      </c>
      <c r="C196">
        <v>0</v>
      </c>
      <c r="D196">
        <v>95200</v>
      </c>
      <c r="E196">
        <v>95790</v>
      </c>
      <c r="F196">
        <v>93680</v>
      </c>
      <c r="G196">
        <v>95787</v>
      </c>
      <c r="H196">
        <v>2009609</v>
      </c>
      <c r="I196">
        <v>1480.94</v>
      </c>
      <c r="J196">
        <v>1</v>
      </c>
      <c r="K196">
        <v>1</v>
      </c>
      <c r="L196">
        <v>478</v>
      </c>
      <c r="M196">
        <v>955</v>
      </c>
      <c r="N196">
        <v>426</v>
      </c>
      <c r="O196">
        <v>0</v>
      </c>
      <c r="P196">
        <v>426</v>
      </c>
    </row>
    <row r="197" spans="1:16" x14ac:dyDescent="0.25">
      <c r="A197" s="1">
        <v>209</v>
      </c>
      <c r="B197" s="2">
        <v>45229</v>
      </c>
      <c r="C197">
        <v>0</v>
      </c>
      <c r="D197">
        <v>95725</v>
      </c>
      <c r="E197">
        <v>95725</v>
      </c>
      <c r="F197">
        <v>94036</v>
      </c>
      <c r="G197">
        <v>94166</v>
      </c>
      <c r="H197">
        <v>1039411</v>
      </c>
      <c r="I197">
        <v>1500.23</v>
      </c>
      <c r="J197">
        <v>0</v>
      </c>
      <c r="K197">
        <v>1</v>
      </c>
      <c r="L197">
        <v>494</v>
      </c>
      <c r="M197">
        <v>987</v>
      </c>
      <c r="N197">
        <v>494</v>
      </c>
      <c r="O197">
        <v>0</v>
      </c>
      <c r="P197">
        <v>494</v>
      </c>
    </row>
    <row r="198" spans="1:16" x14ac:dyDescent="0.25">
      <c r="A198" s="1">
        <v>210</v>
      </c>
      <c r="B198" s="2">
        <v>45230</v>
      </c>
      <c r="C198">
        <v>0</v>
      </c>
      <c r="D198">
        <v>94200</v>
      </c>
      <c r="E198">
        <v>95370</v>
      </c>
      <c r="F198">
        <v>92968</v>
      </c>
      <c r="G198">
        <v>95198</v>
      </c>
      <c r="H198">
        <v>1886149</v>
      </c>
      <c r="I198">
        <v>1564.64</v>
      </c>
      <c r="J198">
        <v>1</v>
      </c>
      <c r="K198">
        <v>0</v>
      </c>
      <c r="L198">
        <v>500</v>
      </c>
      <c r="M198">
        <v>1000</v>
      </c>
      <c r="N198">
        <v>0</v>
      </c>
      <c r="O198">
        <v>500</v>
      </c>
      <c r="P198">
        <v>500</v>
      </c>
    </row>
    <row r="199" spans="1:16" x14ac:dyDescent="0.25">
      <c r="A199" s="1">
        <v>211</v>
      </c>
      <c r="B199" s="2">
        <v>45231</v>
      </c>
      <c r="C199">
        <v>0</v>
      </c>
      <c r="D199">
        <v>94999</v>
      </c>
      <c r="E199">
        <v>95441</v>
      </c>
      <c r="F199">
        <v>94000</v>
      </c>
      <c r="G199">
        <v>94299</v>
      </c>
      <c r="H199">
        <v>1241116</v>
      </c>
      <c r="I199">
        <v>1555.81</v>
      </c>
      <c r="J199">
        <v>0</v>
      </c>
      <c r="K199">
        <v>1</v>
      </c>
      <c r="L199">
        <v>522</v>
      </c>
      <c r="M199">
        <v>1043</v>
      </c>
      <c r="N199">
        <v>522</v>
      </c>
      <c r="O199">
        <v>0</v>
      </c>
      <c r="P199">
        <v>522</v>
      </c>
    </row>
    <row r="200" spans="1:16" x14ac:dyDescent="0.25">
      <c r="A200" s="1">
        <v>212</v>
      </c>
      <c r="B200" s="2">
        <v>45232</v>
      </c>
      <c r="C200">
        <v>0</v>
      </c>
      <c r="D200">
        <v>94401</v>
      </c>
      <c r="E200">
        <v>94950</v>
      </c>
      <c r="F200">
        <v>94303</v>
      </c>
      <c r="G200">
        <v>94626</v>
      </c>
      <c r="H200">
        <v>771742</v>
      </c>
      <c r="I200">
        <v>1491.18</v>
      </c>
      <c r="J200">
        <v>1</v>
      </c>
      <c r="K200">
        <v>0</v>
      </c>
      <c r="L200">
        <v>519</v>
      </c>
      <c r="M200">
        <v>1037</v>
      </c>
      <c r="N200">
        <v>0</v>
      </c>
      <c r="O200">
        <v>-292</v>
      </c>
      <c r="P200">
        <v>-292</v>
      </c>
    </row>
    <row r="201" spans="1:16" x14ac:dyDescent="0.25">
      <c r="A201" s="1">
        <v>213</v>
      </c>
      <c r="B201" s="2">
        <v>45233</v>
      </c>
      <c r="C201">
        <v>0</v>
      </c>
      <c r="D201">
        <v>94656</v>
      </c>
      <c r="E201">
        <v>94945</v>
      </c>
      <c r="F201">
        <v>93467</v>
      </c>
      <c r="G201">
        <v>93635</v>
      </c>
      <c r="H201">
        <v>1111821</v>
      </c>
      <c r="I201">
        <v>1490.24</v>
      </c>
      <c r="J201">
        <v>0</v>
      </c>
      <c r="K201">
        <v>1</v>
      </c>
      <c r="L201">
        <v>497</v>
      </c>
      <c r="M201">
        <v>994</v>
      </c>
      <c r="N201">
        <v>497</v>
      </c>
      <c r="O201">
        <v>0</v>
      </c>
      <c r="P201">
        <v>497</v>
      </c>
    </row>
    <row r="202" spans="1:16" x14ac:dyDescent="0.25">
      <c r="A202" s="1">
        <v>214</v>
      </c>
      <c r="B202" s="2">
        <v>45236</v>
      </c>
      <c r="C202">
        <v>0</v>
      </c>
      <c r="D202">
        <v>93615</v>
      </c>
      <c r="E202">
        <v>93865</v>
      </c>
      <c r="F202">
        <v>93162</v>
      </c>
      <c r="G202">
        <v>93502</v>
      </c>
      <c r="H202">
        <v>382645</v>
      </c>
      <c r="I202">
        <v>1434.01</v>
      </c>
      <c r="J202">
        <v>0</v>
      </c>
      <c r="K202">
        <v>0</v>
      </c>
      <c r="L202">
        <v>497</v>
      </c>
      <c r="M202">
        <v>993</v>
      </c>
      <c r="N202">
        <v>0</v>
      </c>
      <c r="O202">
        <v>-4</v>
      </c>
      <c r="P202">
        <v>-4</v>
      </c>
    </row>
    <row r="203" spans="1:16" x14ac:dyDescent="0.25">
      <c r="A203" s="1">
        <v>215</v>
      </c>
      <c r="B203" s="2">
        <v>45237</v>
      </c>
      <c r="C203">
        <v>0</v>
      </c>
      <c r="D203">
        <v>93670</v>
      </c>
      <c r="E203">
        <v>94063</v>
      </c>
      <c r="F203">
        <v>93366</v>
      </c>
      <c r="G203">
        <v>93929</v>
      </c>
      <c r="H203">
        <v>827872</v>
      </c>
      <c r="I203">
        <v>1381.36</v>
      </c>
      <c r="J203">
        <v>1</v>
      </c>
      <c r="K203">
        <v>0</v>
      </c>
      <c r="L203">
        <v>478</v>
      </c>
      <c r="M203">
        <v>956</v>
      </c>
      <c r="N203">
        <v>0</v>
      </c>
      <c r="O203">
        <v>-235</v>
      </c>
      <c r="P203">
        <v>-235</v>
      </c>
    </row>
    <row r="204" spans="1:16" x14ac:dyDescent="0.25">
      <c r="A204" s="1">
        <v>216</v>
      </c>
      <c r="B204" s="2">
        <v>45238</v>
      </c>
      <c r="C204">
        <v>0</v>
      </c>
      <c r="D204">
        <v>93902</v>
      </c>
      <c r="E204">
        <v>93902</v>
      </c>
      <c r="F204">
        <v>92960</v>
      </c>
      <c r="G204">
        <v>93160</v>
      </c>
      <c r="H204">
        <v>796909</v>
      </c>
      <c r="I204">
        <v>1351.91</v>
      </c>
      <c r="J204">
        <v>0</v>
      </c>
      <c r="K204">
        <v>1</v>
      </c>
      <c r="L204">
        <v>460</v>
      </c>
      <c r="M204">
        <v>921</v>
      </c>
      <c r="N204">
        <v>460</v>
      </c>
      <c r="O204">
        <v>0</v>
      </c>
      <c r="P204">
        <v>460</v>
      </c>
    </row>
    <row r="205" spans="1:16" x14ac:dyDescent="0.25">
      <c r="A205" s="1">
        <v>217</v>
      </c>
      <c r="B205" s="2">
        <v>45239</v>
      </c>
      <c r="C205">
        <v>0</v>
      </c>
      <c r="D205">
        <v>93195</v>
      </c>
      <c r="E205">
        <v>93450</v>
      </c>
      <c r="F205">
        <v>92860</v>
      </c>
      <c r="G205">
        <v>93321</v>
      </c>
      <c r="H205">
        <v>686919</v>
      </c>
      <c r="I205">
        <v>1297.49</v>
      </c>
      <c r="J205">
        <v>1</v>
      </c>
      <c r="K205">
        <v>0</v>
      </c>
      <c r="L205">
        <v>451</v>
      </c>
      <c r="M205">
        <v>901</v>
      </c>
      <c r="N205">
        <v>0</v>
      </c>
      <c r="O205">
        <v>-205</v>
      </c>
      <c r="P205">
        <v>-205</v>
      </c>
    </row>
    <row r="206" spans="1:16" x14ac:dyDescent="0.25">
      <c r="A206" s="1">
        <v>218</v>
      </c>
      <c r="B206" s="2">
        <v>45240</v>
      </c>
      <c r="C206">
        <v>0</v>
      </c>
      <c r="D206">
        <v>93313</v>
      </c>
      <c r="E206">
        <v>93830</v>
      </c>
      <c r="F206">
        <v>93022</v>
      </c>
      <c r="G206">
        <v>93680</v>
      </c>
      <c r="H206">
        <v>634821</v>
      </c>
      <c r="I206">
        <v>1262.52</v>
      </c>
      <c r="J206">
        <v>1</v>
      </c>
      <c r="K206">
        <v>1</v>
      </c>
      <c r="L206">
        <v>432</v>
      </c>
      <c r="M206">
        <v>865</v>
      </c>
      <c r="N206">
        <v>391</v>
      </c>
      <c r="O206">
        <v>0</v>
      </c>
      <c r="P206">
        <v>391</v>
      </c>
    </row>
    <row r="207" spans="1:16" x14ac:dyDescent="0.25">
      <c r="A207" s="1">
        <v>219</v>
      </c>
      <c r="B207" s="2">
        <v>45243</v>
      </c>
      <c r="C207">
        <v>0</v>
      </c>
      <c r="D207">
        <v>93651</v>
      </c>
      <c r="E207">
        <v>93739</v>
      </c>
      <c r="F207">
        <v>92461</v>
      </c>
      <c r="G207">
        <v>92580</v>
      </c>
      <c r="H207">
        <v>828167</v>
      </c>
      <c r="I207">
        <v>1263.6300000000001</v>
      </c>
      <c r="J207">
        <v>0</v>
      </c>
      <c r="K207">
        <v>1</v>
      </c>
      <c r="L207">
        <v>421</v>
      </c>
      <c r="M207">
        <v>842</v>
      </c>
      <c r="N207">
        <v>421</v>
      </c>
      <c r="O207">
        <v>0</v>
      </c>
      <c r="P207">
        <v>421</v>
      </c>
    </row>
    <row r="208" spans="1:16" x14ac:dyDescent="0.25">
      <c r="A208" s="1">
        <v>220</v>
      </c>
      <c r="B208" s="2">
        <v>45244</v>
      </c>
      <c r="C208">
        <v>0</v>
      </c>
      <c r="D208">
        <v>92700</v>
      </c>
      <c r="E208">
        <v>92800</v>
      </c>
      <c r="F208">
        <v>91562</v>
      </c>
      <c r="G208">
        <v>91652</v>
      </c>
      <c r="H208">
        <v>831621</v>
      </c>
      <c r="I208">
        <v>1261.8</v>
      </c>
      <c r="J208">
        <v>0</v>
      </c>
      <c r="K208">
        <v>0</v>
      </c>
      <c r="L208">
        <v>421</v>
      </c>
      <c r="M208">
        <v>842</v>
      </c>
      <c r="N208">
        <v>0</v>
      </c>
      <c r="O208">
        <v>842</v>
      </c>
      <c r="P208">
        <v>842</v>
      </c>
    </row>
    <row r="209" spans="1:16" x14ac:dyDescent="0.25">
      <c r="A209" s="1">
        <v>221</v>
      </c>
      <c r="B209" s="2">
        <v>45245</v>
      </c>
      <c r="C209">
        <v>0</v>
      </c>
      <c r="D209">
        <v>91548</v>
      </c>
      <c r="E209">
        <v>91580</v>
      </c>
      <c r="F209">
        <v>89976</v>
      </c>
      <c r="G209">
        <v>90295</v>
      </c>
      <c r="H209">
        <v>1459129</v>
      </c>
      <c r="I209">
        <v>1291.3800000000001</v>
      </c>
      <c r="J209">
        <v>0</v>
      </c>
      <c r="K209">
        <v>0</v>
      </c>
      <c r="L209">
        <v>421</v>
      </c>
      <c r="M209">
        <v>841</v>
      </c>
      <c r="N209">
        <v>0</v>
      </c>
      <c r="O209">
        <v>841</v>
      </c>
      <c r="P209">
        <v>841</v>
      </c>
    </row>
    <row r="210" spans="1:16" x14ac:dyDescent="0.25">
      <c r="A210" s="1">
        <v>222</v>
      </c>
      <c r="B210" s="2">
        <v>45246</v>
      </c>
      <c r="C210">
        <v>0</v>
      </c>
      <c r="D210">
        <v>90251</v>
      </c>
      <c r="E210">
        <v>90547</v>
      </c>
      <c r="F210">
        <v>89630</v>
      </c>
      <c r="G210">
        <v>90317</v>
      </c>
      <c r="H210">
        <v>1009904</v>
      </c>
      <c r="I210">
        <v>1264.6400000000001</v>
      </c>
      <c r="J210">
        <v>1</v>
      </c>
      <c r="K210">
        <v>0</v>
      </c>
      <c r="L210">
        <v>430</v>
      </c>
      <c r="M210">
        <v>861</v>
      </c>
      <c r="N210">
        <v>0</v>
      </c>
      <c r="O210">
        <v>-231</v>
      </c>
      <c r="P210">
        <v>-231</v>
      </c>
    </row>
    <row r="211" spans="1:16" x14ac:dyDescent="0.25">
      <c r="A211" s="1">
        <v>223</v>
      </c>
      <c r="B211" s="2">
        <v>45247</v>
      </c>
      <c r="C211">
        <v>0</v>
      </c>
      <c r="D211">
        <v>90300</v>
      </c>
      <c r="E211">
        <v>91400</v>
      </c>
      <c r="F211">
        <v>89926</v>
      </c>
      <c r="G211">
        <v>90801</v>
      </c>
      <c r="H211">
        <v>1127435</v>
      </c>
      <c r="I211">
        <v>1279.5999999999999</v>
      </c>
      <c r="J211">
        <v>1</v>
      </c>
      <c r="K211">
        <v>1</v>
      </c>
      <c r="L211">
        <v>422</v>
      </c>
      <c r="M211">
        <v>843</v>
      </c>
      <c r="N211">
        <v>618</v>
      </c>
      <c r="O211">
        <v>0</v>
      </c>
      <c r="P211">
        <v>618</v>
      </c>
    </row>
    <row r="212" spans="1:16" x14ac:dyDescent="0.25">
      <c r="A212" s="1">
        <v>224</v>
      </c>
      <c r="B212" s="2">
        <v>45250</v>
      </c>
      <c r="C212">
        <v>0</v>
      </c>
      <c r="D212">
        <v>90686</v>
      </c>
      <c r="E212">
        <v>90686</v>
      </c>
      <c r="F212">
        <v>88553</v>
      </c>
      <c r="G212">
        <v>88660</v>
      </c>
      <c r="H212">
        <v>1450047</v>
      </c>
      <c r="I212">
        <v>1348.77</v>
      </c>
      <c r="J212">
        <v>0</v>
      </c>
      <c r="K212">
        <v>1</v>
      </c>
      <c r="L212">
        <v>427</v>
      </c>
      <c r="M212">
        <v>853</v>
      </c>
      <c r="N212">
        <v>427</v>
      </c>
      <c r="O212">
        <v>0</v>
      </c>
      <c r="P212">
        <v>427</v>
      </c>
    </row>
    <row r="213" spans="1:16" x14ac:dyDescent="0.25">
      <c r="A213" s="1">
        <v>225</v>
      </c>
      <c r="B213" s="2">
        <v>45251</v>
      </c>
      <c r="C213">
        <v>0</v>
      </c>
      <c r="D213">
        <v>88480</v>
      </c>
      <c r="E213">
        <v>88906</v>
      </c>
      <c r="F213">
        <v>88029</v>
      </c>
      <c r="G213">
        <v>88427</v>
      </c>
      <c r="H213">
        <v>877636</v>
      </c>
      <c r="I213">
        <v>1315.07</v>
      </c>
      <c r="J213">
        <v>0</v>
      </c>
      <c r="K213">
        <v>0</v>
      </c>
      <c r="L213">
        <v>450</v>
      </c>
      <c r="M213">
        <v>899</v>
      </c>
      <c r="N213">
        <v>0</v>
      </c>
      <c r="O213">
        <v>-45</v>
      </c>
      <c r="P213">
        <v>-45</v>
      </c>
    </row>
    <row r="214" spans="1:16" x14ac:dyDescent="0.25">
      <c r="A214" s="1">
        <v>226</v>
      </c>
      <c r="B214" s="2">
        <v>45252</v>
      </c>
      <c r="C214">
        <v>0</v>
      </c>
      <c r="D214">
        <v>88637</v>
      </c>
      <c r="E214">
        <v>89492</v>
      </c>
      <c r="F214">
        <v>88501</v>
      </c>
      <c r="G214">
        <v>88720</v>
      </c>
      <c r="H214">
        <v>804678</v>
      </c>
      <c r="I214">
        <v>1297.21</v>
      </c>
      <c r="J214">
        <v>1</v>
      </c>
      <c r="K214">
        <v>0</v>
      </c>
      <c r="L214">
        <v>438</v>
      </c>
      <c r="M214">
        <v>877</v>
      </c>
      <c r="N214">
        <v>0</v>
      </c>
      <c r="O214">
        <v>-149</v>
      </c>
      <c r="P214">
        <v>-149</v>
      </c>
    </row>
    <row r="215" spans="1:16" x14ac:dyDescent="0.25">
      <c r="A215" s="1">
        <v>227</v>
      </c>
      <c r="B215" s="2">
        <v>45253</v>
      </c>
      <c r="C215">
        <v>0</v>
      </c>
      <c r="D215">
        <v>88730</v>
      </c>
      <c r="E215">
        <v>89428</v>
      </c>
      <c r="F215">
        <v>88560</v>
      </c>
      <c r="G215">
        <v>89096</v>
      </c>
      <c r="H215">
        <v>720532</v>
      </c>
      <c r="I215">
        <v>1266.55</v>
      </c>
      <c r="J215">
        <v>1</v>
      </c>
      <c r="K215">
        <v>1</v>
      </c>
      <c r="L215">
        <v>432</v>
      </c>
      <c r="M215">
        <v>865</v>
      </c>
      <c r="N215">
        <v>339</v>
      </c>
      <c r="O215">
        <v>0</v>
      </c>
      <c r="P215">
        <v>339</v>
      </c>
    </row>
    <row r="216" spans="1:16" x14ac:dyDescent="0.25">
      <c r="A216" s="1">
        <v>228</v>
      </c>
      <c r="B216" s="2">
        <v>45254</v>
      </c>
      <c r="C216">
        <v>0</v>
      </c>
      <c r="D216">
        <v>89278</v>
      </c>
      <c r="E216">
        <v>90080</v>
      </c>
      <c r="F216">
        <v>88971</v>
      </c>
      <c r="G216">
        <v>89415</v>
      </c>
      <c r="H216">
        <v>1490109</v>
      </c>
      <c r="I216">
        <v>1255.3</v>
      </c>
      <c r="J216">
        <v>1</v>
      </c>
      <c r="K216">
        <v>1</v>
      </c>
      <c r="L216">
        <v>422</v>
      </c>
      <c r="M216">
        <v>844</v>
      </c>
      <c r="N216">
        <v>157</v>
      </c>
      <c r="O216">
        <v>0</v>
      </c>
      <c r="P216">
        <v>157</v>
      </c>
    </row>
    <row r="217" spans="1:16" x14ac:dyDescent="0.25">
      <c r="A217" s="1">
        <v>229</v>
      </c>
      <c r="B217" s="2">
        <v>45257</v>
      </c>
      <c r="C217">
        <v>0</v>
      </c>
      <c r="D217">
        <v>89621</v>
      </c>
      <c r="E217">
        <v>89840</v>
      </c>
      <c r="F217">
        <v>89005</v>
      </c>
      <c r="G217">
        <v>89800</v>
      </c>
      <c r="H217">
        <v>769240</v>
      </c>
      <c r="I217">
        <v>1225.28</v>
      </c>
      <c r="J217">
        <v>1</v>
      </c>
      <c r="K217">
        <v>1</v>
      </c>
      <c r="L217">
        <v>418</v>
      </c>
      <c r="M217">
        <v>837</v>
      </c>
      <c r="N217">
        <v>125</v>
      </c>
      <c r="O217">
        <v>0</v>
      </c>
      <c r="P217">
        <v>125</v>
      </c>
    </row>
    <row r="218" spans="1:16" x14ac:dyDescent="0.25">
      <c r="A218" s="1">
        <v>230</v>
      </c>
      <c r="B218" s="2">
        <v>45258</v>
      </c>
      <c r="C218">
        <v>0</v>
      </c>
      <c r="D218">
        <v>89715</v>
      </c>
      <c r="E218">
        <v>90262</v>
      </c>
      <c r="F218">
        <v>89230</v>
      </c>
      <c r="G218">
        <v>90000</v>
      </c>
      <c r="H218">
        <v>999917</v>
      </c>
      <c r="I218">
        <v>1211.47</v>
      </c>
      <c r="J218">
        <v>1</v>
      </c>
      <c r="K218">
        <v>1</v>
      </c>
      <c r="L218">
        <v>408</v>
      </c>
      <c r="M218">
        <v>817</v>
      </c>
      <c r="N218">
        <v>357</v>
      </c>
      <c r="O218">
        <v>0</v>
      </c>
      <c r="P218">
        <v>357</v>
      </c>
    </row>
    <row r="219" spans="1:16" x14ac:dyDescent="0.25">
      <c r="A219" s="1">
        <v>231</v>
      </c>
      <c r="B219" s="2">
        <v>45259</v>
      </c>
      <c r="C219">
        <v>0</v>
      </c>
      <c r="D219">
        <v>89910</v>
      </c>
      <c r="E219">
        <v>89922</v>
      </c>
      <c r="F219">
        <v>89034</v>
      </c>
      <c r="G219">
        <v>89034</v>
      </c>
      <c r="H219">
        <v>1104099</v>
      </c>
      <c r="I219">
        <v>1193.94</v>
      </c>
      <c r="J219">
        <v>0</v>
      </c>
      <c r="K219">
        <v>1</v>
      </c>
      <c r="L219">
        <v>404</v>
      </c>
      <c r="M219">
        <v>808</v>
      </c>
      <c r="N219">
        <v>404</v>
      </c>
      <c r="O219">
        <v>0</v>
      </c>
      <c r="P219">
        <v>404</v>
      </c>
    </row>
    <row r="220" spans="1:16" x14ac:dyDescent="0.25">
      <c r="A220" s="1">
        <v>232</v>
      </c>
      <c r="B220" s="2">
        <v>45260</v>
      </c>
      <c r="C220">
        <v>0</v>
      </c>
      <c r="D220">
        <v>89109</v>
      </c>
      <c r="E220">
        <v>90305</v>
      </c>
      <c r="F220">
        <v>88899</v>
      </c>
      <c r="G220">
        <v>89990</v>
      </c>
      <c r="H220">
        <v>1019268</v>
      </c>
      <c r="I220">
        <v>1209.08</v>
      </c>
      <c r="J220">
        <v>1</v>
      </c>
      <c r="K220">
        <v>0</v>
      </c>
      <c r="L220">
        <v>398</v>
      </c>
      <c r="M220">
        <v>796</v>
      </c>
      <c r="N220">
        <v>0</v>
      </c>
      <c r="O220">
        <v>398</v>
      </c>
      <c r="P220">
        <v>398</v>
      </c>
    </row>
    <row r="221" spans="1:16" x14ac:dyDescent="0.25">
      <c r="A221" s="1">
        <v>233</v>
      </c>
      <c r="B221" s="2">
        <v>45261</v>
      </c>
      <c r="C221">
        <v>0</v>
      </c>
      <c r="D221">
        <v>89980</v>
      </c>
      <c r="E221">
        <v>91019</v>
      </c>
      <c r="F221">
        <v>89741</v>
      </c>
      <c r="G221">
        <v>90757</v>
      </c>
      <c r="H221">
        <v>858352</v>
      </c>
      <c r="I221">
        <v>1214.01</v>
      </c>
      <c r="J221">
        <v>1</v>
      </c>
      <c r="K221">
        <v>1</v>
      </c>
      <c r="L221">
        <v>403</v>
      </c>
      <c r="M221">
        <v>806</v>
      </c>
      <c r="N221">
        <v>860</v>
      </c>
      <c r="O221">
        <v>0</v>
      </c>
      <c r="P221">
        <v>860</v>
      </c>
    </row>
    <row r="222" spans="1:16" x14ac:dyDescent="0.25">
      <c r="A222" s="1">
        <v>234</v>
      </c>
      <c r="B222" s="2">
        <v>45264</v>
      </c>
      <c r="C222">
        <v>0</v>
      </c>
      <c r="D222">
        <v>90830</v>
      </c>
      <c r="E222">
        <v>91695</v>
      </c>
      <c r="F222">
        <v>90826</v>
      </c>
      <c r="G222">
        <v>91546</v>
      </c>
      <c r="H222">
        <v>821856</v>
      </c>
      <c r="I222">
        <v>1194.29</v>
      </c>
      <c r="J222">
        <v>1</v>
      </c>
      <c r="K222">
        <v>1</v>
      </c>
      <c r="L222">
        <v>405</v>
      </c>
      <c r="M222">
        <v>809</v>
      </c>
      <c r="N222">
        <v>647</v>
      </c>
      <c r="O222">
        <v>0</v>
      </c>
      <c r="P222">
        <v>647</v>
      </c>
    </row>
    <row r="223" spans="1:16" x14ac:dyDescent="0.25">
      <c r="A223" s="1">
        <v>235</v>
      </c>
      <c r="B223" s="2">
        <v>45265</v>
      </c>
      <c r="C223">
        <v>0</v>
      </c>
      <c r="D223">
        <v>91901</v>
      </c>
      <c r="E223">
        <v>93180</v>
      </c>
      <c r="F223">
        <v>91650</v>
      </c>
      <c r="G223">
        <v>93166</v>
      </c>
      <c r="H223">
        <v>1227226</v>
      </c>
      <c r="I223">
        <v>1225.7</v>
      </c>
      <c r="J223">
        <v>1</v>
      </c>
      <c r="K223">
        <v>1</v>
      </c>
      <c r="L223">
        <v>398</v>
      </c>
      <c r="M223">
        <v>796</v>
      </c>
      <c r="N223">
        <v>796</v>
      </c>
      <c r="O223">
        <v>0</v>
      </c>
      <c r="P223">
        <v>796</v>
      </c>
    </row>
    <row r="224" spans="1:16" x14ac:dyDescent="0.25">
      <c r="A224" s="1">
        <v>236</v>
      </c>
      <c r="B224" s="2">
        <v>45266</v>
      </c>
      <c r="C224">
        <v>0</v>
      </c>
      <c r="D224">
        <v>93197</v>
      </c>
      <c r="E224">
        <v>93870</v>
      </c>
      <c r="F224">
        <v>92200</v>
      </c>
      <c r="G224">
        <v>93350</v>
      </c>
      <c r="H224">
        <v>1425020</v>
      </c>
      <c r="I224">
        <v>1257.44</v>
      </c>
      <c r="J224">
        <v>1</v>
      </c>
      <c r="K224">
        <v>1</v>
      </c>
      <c r="L224">
        <v>409</v>
      </c>
      <c r="M224">
        <v>817</v>
      </c>
      <c r="N224">
        <v>188</v>
      </c>
      <c r="O224">
        <v>0</v>
      </c>
      <c r="P224">
        <v>188</v>
      </c>
    </row>
    <row r="225" spans="1:16" x14ac:dyDescent="0.25">
      <c r="A225" s="1">
        <v>237</v>
      </c>
      <c r="B225" s="2">
        <v>45267</v>
      </c>
      <c r="C225">
        <v>0</v>
      </c>
      <c r="D225">
        <v>93459</v>
      </c>
      <c r="E225">
        <v>93550</v>
      </c>
      <c r="F225">
        <v>91811</v>
      </c>
      <c r="G225">
        <v>92180</v>
      </c>
      <c r="H225">
        <v>1183914</v>
      </c>
      <c r="I225">
        <v>1291.83</v>
      </c>
      <c r="J225">
        <v>0</v>
      </c>
      <c r="K225">
        <v>1</v>
      </c>
      <c r="L225">
        <v>419</v>
      </c>
      <c r="M225">
        <v>838</v>
      </c>
      <c r="N225">
        <v>419</v>
      </c>
      <c r="O225">
        <v>0</v>
      </c>
      <c r="P225">
        <v>419</v>
      </c>
    </row>
    <row r="226" spans="1:16" x14ac:dyDescent="0.25">
      <c r="A226" s="1">
        <v>238</v>
      </c>
      <c r="B226" s="2">
        <v>45268</v>
      </c>
      <c r="C226">
        <v>0</v>
      </c>
      <c r="D226">
        <v>92208</v>
      </c>
      <c r="E226">
        <v>92348</v>
      </c>
      <c r="F226">
        <v>90899</v>
      </c>
      <c r="G226">
        <v>91900</v>
      </c>
      <c r="H226">
        <v>1579150</v>
      </c>
      <c r="I226">
        <v>1303.06</v>
      </c>
      <c r="J226">
        <v>0</v>
      </c>
      <c r="K226">
        <v>0</v>
      </c>
      <c r="L226">
        <v>431</v>
      </c>
      <c r="M226">
        <v>861</v>
      </c>
      <c r="N226">
        <v>0</v>
      </c>
      <c r="O226">
        <v>373</v>
      </c>
      <c r="P226">
        <v>373</v>
      </c>
    </row>
    <row r="227" spans="1:16" x14ac:dyDescent="0.25">
      <c r="A227" s="1">
        <v>239</v>
      </c>
      <c r="B227" s="2">
        <v>45271</v>
      </c>
      <c r="C227">
        <v>0</v>
      </c>
      <c r="D227">
        <v>91783</v>
      </c>
      <c r="E227">
        <v>91784</v>
      </c>
      <c r="F227">
        <v>90400</v>
      </c>
      <c r="G227">
        <v>90594</v>
      </c>
      <c r="H227">
        <v>1401949</v>
      </c>
      <c r="I227">
        <v>1317.13</v>
      </c>
      <c r="J227">
        <v>0</v>
      </c>
      <c r="K227">
        <v>0</v>
      </c>
      <c r="L227">
        <v>434</v>
      </c>
      <c r="M227">
        <v>869</v>
      </c>
      <c r="N227">
        <v>0</v>
      </c>
      <c r="O227">
        <v>869</v>
      </c>
      <c r="P227">
        <v>869</v>
      </c>
    </row>
    <row r="228" spans="1:16" x14ac:dyDescent="0.25">
      <c r="A228" s="1">
        <v>240</v>
      </c>
      <c r="B228" s="2">
        <v>45272</v>
      </c>
      <c r="C228">
        <v>0</v>
      </c>
      <c r="D228">
        <v>90600</v>
      </c>
      <c r="E228">
        <v>90633</v>
      </c>
      <c r="F228">
        <v>89804</v>
      </c>
      <c r="G228">
        <v>90009</v>
      </c>
      <c r="H228">
        <v>1052564</v>
      </c>
      <c r="I228">
        <v>1282.26</v>
      </c>
      <c r="J228">
        <v>0</v>
      </c>
      <c r="K228">
        <v>0</v>
      </c>
      <c r="L228">
        <v>439</v>
      </c>
      <c r="M228">
        <v>878</v>
      </c>
      <c r="N228">
        <v>0</v>
      </c>
      <c r="O228">
        <v>631</v>
      </c>
      <c r="P228">
        <v>631</v>
      </c>
    </row>
    <row r="229" spans="1:16" x14ac:dyDescent="0.25">
      <c r="A229" s="1">
        <v>241</v>
      </c>
      <c r="B229" s="2">
        <v>45273</v>
      </c>
      <c r="C229">
        <v>0</v>
      </c>
      <c r="D229">
        <v>89822</v>
      </c>
      <c r="E229">
        <v>90152</v>
      </c>
      <c r="F229">
        <v>89285</v>
      </c>
      <c r="G229">
        <v>89322</v>
      </c>
      <c r="H229">
        <v>1224789</v>
      </c>
      <c r="I229">
        <v>1252.5999999999999</v>
      </c>
      <c r="J229">
        <v>0</v>
      </c>
      <c r="K229">
        <v>0</v>
      </c>
      <c r="L229">
        <v>427</v>
      </c>
      <c r="M229">
        <v>855</v>
      </c>
      <c r="N229">
        <v>0</v>
      </c>
      <c r="O229">
        <v>274</v>
      </c>
      <c r="P229">
        <v>274</v>
      </c>
    </row>
    <row r="230" spans="1:16" x14ac:dyDescent="0.25">
      <c r="A230" s="1">
        <v>242</v>
      </c>
      <c r="B230" s="2">
        <v>45274</v>
      </c>
      <c r="C230">
        <v>0</v>
      </c>
      <c r="D230">
        <v>89300</v>
      </c>
      <c r="E230">
        <v>90499</v>
      </c>
      <c r="F230">
        <v>89123</v>
      </c>
      <c r="G230">
        <v>90360</v>
      </c>
      <c r="H230">
        <v>1261612</v>
      </c>
      <c r="I230">
        <v>1261.4100000000001</v>
      </c>
      <c r="J230">
        <v>1</v>
      </c>
      <c r="K230">
        <v>0</v>
      </c>
      <c r="L230">
        <v>418</v>
      </c>
      <c r="M230">
        <v>835</v>
      </c>
      <c r="N230">
        <v>0</v>
      </c>
      <c r="O230">
        <v>418</v>
      </c>
      <c r="P230">
        <v>418</v>
      </c>
    </row>
    <row r="231" spans="1:16" x14ac:dyDescent="0.25">
      <c r="A231" s="1">
        <v>243</v>
      </c>
      <c r="B231" s="2">
        <v>45275</v>
      </c>
      <c r="C231">
        <v>0</v>
      </c>
      <c r="D231">
        <v>90073</v>
      </c>
      <c r="E231">
        <v>90750</v>
      </c>
      <c r="F231">
        <v>89555</v>
      </c>
      <c r="G231">
        <v>90337</v>
      </c>
      <c r="H231">
        <v>1654221</v>
      </c>
      <c r="I231">
        <v>1256.67</v>
      </c>
      <c r="J231">
        <v>1</v>
      </c>
      <c r="K231">
        <v>1</v>
      </c>
      <c r="L231">
        <v>420</v>
      </c>
      <c r="M231">
        <v>841</v>
      </c>
      <c r="N231">
        <v>265</v>
      </c>
      <c r="O231">
        <v>0</v>
      </c>
      <c r="P231">
        <v>265</v>
      </c>
    </row>
    <row r="232" spans="1:16" x14ac:dyDescent="0.25">
      <c r="A232" s="1">
        <v>244</v>
      </c>
      <c r="B232" s="2">
        <v>45278</v>
      </c>
      <c r="C232">
        <v>0</v>
      </c>
      <c r="D232">
        <v>90365</v>
      </c>
      <c r="E232">
        <v>90849</v>
      </c>
      <c r="F232">
        <v>89670</v>
      </c>
      <c r="G232">
        <v>89789</v>
      </c>
      <c r="H232">
        <v>1066465</v>
      </c>
      <c r="I232">
        <v>1251.1199999999999</v>
      </c>
      <c r="J232">
        <v>0</v>
      </c>
      <c r="K232">
        <v>1</v>
      </c>
      <c r="L232">
        <v>419</v>
      </c>
      <c r="M232">
        <v>838</v>
      </c>
      <c r="N232">
        <v>419</v>
      </c>
      <c r="O232">
        <v>0</v>
      </c>
      <c r="P232">
        <v>419</v>
      </c>
    </row>
    <row r="233" spans="1:16" x14ac:dyDescent="0.25">
      <c r="A233" s="1">
        <v>245</v>
      </c>
      <c r="B233" s="2">
        <v>45279</v>
      </c>
      <c r="C233">
        <v>0</v>
      </c>
      <c r="D233">
        <v>89859</v>
      </c>
      <c r="E233">
        <v>90712</v>
      </c>
      <c r="F233">
        <v>89612</v>
      </c>
      <c r="G233">
        <v>90456</v>
      </c>
      <c r="H233">
        <v>766455</v>
      </c>
      <c r="I233">
        <v>1240.33</v>
      </c>
      <c r="J233">
        <v>1</v>
      </c>
      <c r="K233">
        <v>0</v>
      </c>
      <c r="L233">
        <v>417</v>
      </c>
      <c r="M233">
        <v>834</v>
      </c>
      <c r="N233">
        <v>0</v>
      </c>
      <c r="O233">
        <v>-693</v>
      </c>
      <c r="P233">
        <v>-693</v>
      </c>
    </row>
    <row r="234" spans="1:16" x14ac:dyDescent="0.25">
      <c r="A234" s="1">
        <v>246</v>
      </c>
      <c r="B234" s="2">
        <v>45280</v>
      </c>
      <c r="C234">
        <v>0</v>
      </c>
      <c r="D234">
        <v>91360</v>
      </c>
      <c r="E234">
        <v>92185</v>
      </c>
      <c r="F234">
        <v>91116</v>
      </c>
      <c r="G234">
        <v>92088</v>
      </c>
      <c r="H234">
        <v>684296</v>
      </c>
      <c r="I234">
        <v>1275.23</v>
      </c>
      <c r="J234">
        <v>1</v>
      </c>
      <c r="K234">
        <v>1</v>
      </c>
      <c r="L234">
        <v>413</v>
      </c>
      <c r="M234">
        <v>827</v>
      </c>
      <c r="N234">
        <v>671</v>
      </c>
      <c r="O234">
        <v>0</v>
      </c>
      <c r="P234">
        <v>671</v>
      </c>
    </row>
    <row r="235" spans="1:16" x14ac:dyDescent="0.25">
      <c r="A235" s="1">
        <v>247</v>
      </c>
      <c r="B235" s="2">
        <v>45281</v>
      </c>
      <c r="C235">
        <v>0</v>
      </c>
      <c r="D235">
        <v>91790</v>
      </c>
      <c r="E235">
        <v>93205</v>
      </c>
      <c r="F235">
        <v>91617</v>
      </c>
      <c r="G235">
        <v>92222</v>
      </c>
      <c r="H235">
        <v>1416935</v>
      </c>
      <c r="I235">
        <v>1297.57</v>
      </c>
      <c r="J235">
        <v>1</v>
      </c>
      <c r="K235">
        <v>1</v>
      </c>
      <c r="L235">
        <v>425</v>
      </c>
      <c r="M235">
        <v>850</v>
      </c>
      <c r="N235">
        <v>451</v>
      </c>
      <c r="O235">
        <v>0</v>
      </c>
      <c r="P235">
        <v>451</v>
      </c>
    </row>
    <row r="236" spans="1:16" x14ac:dyDescent="0.25">
      <c r="A236" s="1">
        <v>248</v>
      </c>
      <c r="B236" s="2">
        <v>45282</v>
      </c>
      <c r="C236">
        <v>0</v>
      </c>
      <c r="D236">
        <v>92196</v>
      </c>
      <c r="E236">
        <v>92744</v>
      </c>
      <c r="F236">
        <v>91456</v>
      </c>
      <c r="G236">
        <v>92061</v>
      </c>
      <c r="H236">
        <v>1014924</v>
      </c>
      <c r="I236">
        <v>1296.8900000000001</v>
      </c>
      <c r="J236">
        <v>0</v>
      </c>
      <c r="K236">
        <v>1</v>
      </c>
      <c r="L236">
        <v>433</v>
      </c>
      <c r="M236">
        <v>865</v>
      </c>
      <c r="N236">
        <v>-79</v>
      </c>
      <c r="O236">
        <v>0</v>
      </c>
      <c r="P236">
        <v>-79</v>
      </c>
    </row>
    <row r="237" spans="1:16" x14ac:dyDescent="0.25">
      <c r="A237" s="1">
        <v>249</v>
      </c>
      <c r="B237" s="2">
        <v>45285</v>
      </c>
      <c r="C237">
        <v>0</v>
      </c>
      <c r="D237">
        <v>91976</v>
      </c>
      <c r="E237">
        <v>92844</v>
      </c>
      <c r="F237">
        <v>91408</v>
      </c>
      <c r="G237">
        <v>91647</v>
      </c>
      <c r="H237">
        <v>984148</v>
      </c>
      <c r="I237">
        <v>1306.83</v>
      </c>
      <c r="J237">
        <v>0</v>
      </c>
      <c r="K237">
        <v>0</v>
      </c>
      <c r="L237">
        <v>432</v>
      </c>
      <c r="M237">
        <v>865</v>
      </c>
      <c r="N237">
        <v>0</v>
      </c>
      <c r="O237">
        <v>363</v>
      </c>
      <c r="P237">
        <v>363</v>
      </c>
    </row>
    <row r="238" spans="1:16" x14ac:dyDescent="0.25">
      <c r="A238" s="1">
        <v>250</v>
      </c>
      <c r="B238" s="2">
        <v>45286</v>
      </c>
      <c r="C238">
        <v>0</v>
      </c>
      <c r="D238">
        <v>91539</v>
      </c>
      <c r="E238">
        <v>92300</v>
      </c>
      <c r="F238">
        <v>91318</v>
      </c>
      <c r="G238">
        <v>92002</v>
      </c>
      <c r="H238">
        <v>830148</v>
      </c>
      <c r="I238">
        <v>1283.6199999999999</v>
      </c>
      <c r="J238">
        <v>1</v>
      </c>
      <c r="K238">
        <v>0</v>
      </c>
      <c r="L238">
        <v>436</v>
      </c>
      <c r="M238">
        <v>871</v>
      </c>
      <c r="N238">
        <v>0</v>
      </c>
      <c r="O238">
        <v>-481</v>
      </c>
      <c r="P238">
        <v>-481</v>
      </c>
    </row>
    <row r="239" spans="1:16" x14ac:dyDescent="0.25">
      <c r="A239" s="1">
        <v>251</v>
      </c>
      <c r="B239" s="2">
        <v>45287</v>
      </c>
      <c r="C239">
        <v>0</v>
      </c>
      <c r="D239">
        <v>92049</v>
      </c>
      <c r="E239">
        <v>92889</v>
      </c>
      <c r="F239">
        <v>91814</v>
      </c>
      <c r="G239">
        <v>92244</v>
      </c>
      <c r="H239">
        <v>896192</v>
      </c>
      <c r="I239">
        <v>1268.72</v>
      </c>
      <c r="J239">
        <v>1</v>
      </c>
      <c r="K239">
        <v>1</v>
      </c>
      <c r="L239">
        <v>428</v>
      </c>
      <c r="M239">
        <v>856</v>
      </c>
      <c r="N239">
        <v>175</v>
      </c>
      <c r="O239">
        <v>0</v>
      </c>
      <c r="P239">
        <v>175</v>
      </c>
    </row>
    <row r="240" spans="1:16" x14ac:dyDescent="0.25">
      <c r="A240" s="1">
        <v>252</v>
      </c>
      <c r="B240" s="2">
        <v>45288</v>
      </c>
      <c r="C240">
        <v>0</v>
      </c>
      <c r="D240">
        <v>92195</v>
      </c>
      <c r="E240">
        <v>92199</v>
      </c>
      <c r="F240">
        <v>90624</v>
      </c>
      <c r="G240">
        <v>91177</v>
      </c>
      <c r="H240">
        <v>1340215</v>
      </c>
      <c r="I240">
        <v>1293.81</v>
      </c>
      <c r="J240">
        <v>0</v>
      </c>
      <c r="K240">
        <v>1</v>
      </c>
      <c r="L240">
        <v>423</v>
      </c>
      <c r="M240">
        <v>846</v>
      </c>
      <c r="N240">
        <v>423</v>
      </c>
      <c r="O240">
        <v>0</v>
      </c>
      <c r="P240">
        <v>423</v>
      </c>
    </row>
    <row r="241" spans="1:16" x14ac:dyDescent="0.25">
      <c r="A241" s="1">
        <v>253</v>
      </c>
      <c r="B241" s="2">
        <v>45289</v>
      </c>
      <c r="C241">
        <v>0</v>
      </c>
      <c r="D241">
        <v>91464</v>
      </c>
      <c r="E241">
        <v>91994</v>
      </c>
      <c r="F241">
        <v>90527</v>
      </c>
      <c r="G241">
        <v>91850</v>
      </c>
      <c r="H241">
        <v>1008565</v>
      </c>
      <c r="I241">
        <v>1306.18</v>
      </c>
      <c r="J241">
        <v>1</v>
      </c>
      <c r="K241">
        <v>0</v>
      </c>
      <c r="L241">
        <v>431</v>
      </c>
      <c r="M241">
        <v>863</v>
      </c>
      <c r="N241">
        <v>0</v>
      </c>
      <c r="O241">
        <v>-402</v>
      </c>
      <c r="P241">
        <v>-402</v>
      </c>
    </row>
    <row r="242" spans="1:16" x14ac:dyDescent="0.25">
      <c r="A242" s="1">
        <v>254</v>
      </c>
      <c r="B242" s="2">
        <v>45294</v>
      </c>
      <c r="C242">
        <v>0</v>
      </c>
      <c r="D242">
        <v>92002</v>
      </c>
      <c r="E242">
        <v>93387</v>
      </c>
      <c r="F242">
        <v>92002</v>
      </c>
      <c r="G242">
        <v>93258</v>
      </c>
      <c r="H242">
        <v>436455</v>
      </c>
      <c r="I242">
        <v>1322.67</v>
      </c>
      <c r="J242">
        <v>1</v>
      </c>
      <c r="K242">
        <v>1</v>
      </c>
      <c r="L242">
        <v>435</v>
      </c>
      <c r="M242">
        <v>871</v>
      </c>
      <c r="N242">
        <v>871</v>
      </c>
      <c r="O242">
        <v>0</v>
      </c>
      <c r="P242">
        <v>871</v>
      </c>
    </row>
    <row r="243" spans="1:16" x14ac:dyDescent="0.25">
      <c r="A243" s="1">
        <v>255</v>
      </c>
      <c r="B243" s="2">
        <v>45295</v>
      </c>
      <c r="C243">
        <v>0</v>
      </c>
      <c r="D243">
        <v>93279</v>
      </c>
      <c r="E243">
        <v>93383</v>
      </c>
      <c r="F243">
        <v>92025</v>
      </c>
      <c r="G243">
        <v>92200</v>
      </c>
      <c r="H243">
        <v>508063</v>
      </c>
      <c r="I243">
        <v>1325.19</v>
      </c>
      <c r="J243">
        <v>0</v>
      </c>
      <c r="K243">
        <v>1</v>
      </c>
      <c r="L243">
        <v>441</v>
      </c>
      <c r="M243">
        <v>882</v>
      </c>
      <c r="N243">
        <v>441</v>
      </c>
      <c r="O243">
        <v>0</v>
      </c>
      <c r="P243">
        <v>441</v>
      </c>
    </row>
    <row r="244" spans="1:16" x14ac:dyDescent="0.25">
      <c r="A244" s="1">
        <v>256</v>
      </c>
      <c r="B244" s="2">
        <v>45296</v>
      </c>
      <c r="C244">
        <v>0</v>
      </c>
      <c r="D244">
        <v>92177</v>
      </c>
      <c r="E244">
        <v>92447</v>
      </c>
      <c r="F244">
        <v>91205</v>
      </c>
      <c r="G244">
        <v>91391</v>
      </c>
      <c r="H244">
        <v>489702</v>
      </c>
      <c r="I244">
        <v>1319.25</v>
      </c>
      <c r="J244">
        <v>0</v>
      </c>
      <c r="K244">
        <v>0</v>
      </c>
      <c r="L244">
        <v>442</v>
      </c>
      <c r="M244">
        <v>883</v>
      </c>
      <c r="N244">
        <v>0</v>
      </c>
      <c r="O244">
        <v>907</v>
      </c>
      <c r="P244">
        <v>907</v>
      </c>
    </row>
    <row r="245" spans="1:16" x14ac:dyDescent="0.25">
      <c r="A245" s="1">
        <v>257</v>
      </c>
      <c r="B245" s="2">
        <v>45299</v>
      </c>
      <c r="C245">
        <v>0</v>
      </c>
      <c r="D245">
        <v>91472</v>
      </c>
      <c r="E245">
        <v>92499</v>
      </c>
      <c r="F245">
        <v>90955</v>
      </c>
      <c r="G245">
        <v>92038</v>
      </c>
      <c r="H245">
        <v>726309</v>
      </c>
      <c r="I245">
        <v>1335.31</v>
      </c>
      <c r="J245">
        <v>1</v>
      </c>
      <c r="K245">
        <v>0</v>
      </c>
      <c r="L245">
        <v>440</v>
      </c>
      <c r="M245">
        <v>880</v>
      </c>
      <c r="N245">
        <v>0</v>
      </c>
      <c r="O245">
        <v>-553</v>
      </c>
      <c r="P245">
        <v>-553</v>
      </c>
    </row>
    <row r="246" spans="1:16" x14ac:dyDescent="0.25">
      <c r="A246" s="1">
        <v>258</v>
      </c>
      <c r="B246" s="2">
        <v>45300</v>
      </c>
      <c r="C246">
        <v>0</v>
      </c>
      <c r="D246">
        <v>92000</v>
      </c>
      <c r="E246">
        <v>92056</v>
      </c>
      <c r="F246">
        <v>90377</v>
      </c>
      <c r="G246">
        <v>91060</v>
      </c>
      <c r="H246">
        <v>943476</v>
      </c>
      <c r="I246">
        <v>1359.85</v>
      </c>
      <c r="J246">
        <v>0</v>
      </c>
      <c r="K246">
        <v>1</v>
      </c>
      <c r="L246">
        <v>445</v>
      </c>
      <c r="M246">
        <v>890</v>
      </c>
      <c r="N246">
        <v>445</v>
      </c>
      <c r="O246">
        <v>0</v>
      </c>
      <c r="P246">
        <v>445</v>
      </c>
    </row>
    <row r="247" spans="1:16" x14ac:dyDescent="0.25">
      <c r="A247" s="1">
        <v>259</v>
      </c>
      <c r="B247" s="2">
        <v>45301</v>
      </c>
      <c r="C247">
        <v>0</v>
      </c>
      <c r="D247">
        <v>91008</v>
      </c>
      <c r="E247">
        <v>91178</v>
      </c>
      <c r="F247">
        <v>90510</v>
      </c>
      <c r="G247">
        <v>90972</v>
      </c>
      <c r="H247">
        <v>734790</v>
      </c>
      <c r="I247">
        <v>1310.44</v>
      </c>
      <c r="J247">
        <v>0</v>
      </c>
      <c r="K247">
        <v>0</v>
      </c>
      <c r="L247">
        <v>453</v>
      </c>
      <c r="M247">
        <v>907</v>
      </c>
      <c r="N247">
        <v>0</v>
      </c>
      <c r="O247">
        <v>36</v>
      </c>
      <c r="P247">
        <v>36</v>
      </c>
    </row>
    <row r="248" spans="1:16" x14ac:dyDescent="0.25">
      <c r="A248" s="1">
        <v>260</v>
      </c>
      <c r="B248" s="2">
        <v>45302</v>
      </c>
      <c r="C248">
        <v>0</v>
      </c>
      <c r="D248">
        <v>90985</v>
      </c>
      <c r="E248">
        <v>91050</v>
      </c>
      <c r="F248">
        <v>89810</v>
      </c>
      <c r="G248">
        <v>89869</v>
      </c>
      <c r="H248">
        <v>879918</v>
      </c>
      <c r="I248">
        <v>1305.4100000000001</v>
      </c>
      <c r="J248">
        <v>0</v>
      </c>
      <c r="K248">
        <v>0</v>
      </c>
      <c r="L248">
        <v>437</v>
      </c>
      <c r="M248">
        <v>874</v>
      </c>
      <c r="N248">
        <v>0</v>
      </c>
      <c r="O248">
        <v>874</v>
      </c>
      <c r="P248">
        <v>874</v>
      </c>
    </row>
    <row r="249" spans="1:16" x14ac:dyDescent="0.25">
      <c r="A249" s="1">
        <v>261</v>
      </c>
      <c r="B249" s="2">
        <v>45303</v>
      </c>
      <c r="C249">
        <v>0</v>
      </c>
      <c r="D249">
        <v>89809</v>
      </c>
      <c r="E249">
        <v>90115</v>
      </c>
      <c r="F249">
        <v>89321</v>
      </c>
      <c r="G249">
        <v>89897</v>
      </c>
      <c r="H249">
        <v>719083</v>
      </c>
      <c r="I249">
        <v>1268.8800000000001</v>
      </c>
      <c r="J249">
        <v>1</v>
      </c>
      <c r="K249">
        <v>0</v>
      </c>
      <c r="L249">
        <v>435</v>
      </c>
      <c r="M249">
        <v>870</v>
      </c>
      <c r="N249">
        <v>0</v>
      </c>
      <c r="O249">
        <v>-69</v>
      </c>
      <c r="P249">
        <v>-69</v>
      </c>
    </row>
    <row r="250" spans="1:16" x14ac:dyDescent="0.25">
      <c r="A250" s="1">
        <v>262</v>
      </c>
      <c r="B250" s="2">
        <v>45306</v>
      </c>
      <c r="C250">
        <v>0</v>
      </c>
      <c r="D250">
        <v>89670</v>
      </c>
      <c r="E250">
        <v>89743</v>
      </c>
      <c r="F250">
        <v>89000</v>
      </c>
      <c r="G250">
        <v>89171</v>
      </c>
      <c r="H250">
        <v>899834</v>
      </c>
      <c r="I250">
        <v>1242.31</v>
      </c>
      <c r="J250">
        <v>0</v>
      </c>
      <c r="K250">
        <v>1</v>
      </c>
      <c r="L250">
        <v>423</v>
      </c>
      <c r="M250">
        <v>846</v>
      </c>
      <c r="N250">
        <v>423</v>
      </c>
      <c r="O250">
        <v>0</v>
      </c>
      <c r="P250">
        <v>423</v>
      </c>
    </row>
    <row r="251" spans="1:16" x14ac:dyDescent="0.25">
      <c r="A251" s="1">
        <v>263</v>
      </c>
      <c r="B251" s="2">
        <v>45307</v>
      </c>
      <c r="C251">
        <v>0</v>
      </c>
      <c r="D251">
        <v>89218</v>
      </c>
      <c r="E251">
        <v>90107</v>
      </c>
      <c r="F251">
        <v>88945</v>
      </c>
      <c r="G251">
        <v>89415</v>
      </c>
      <c r="H251">
        <v>895609</v>
      </c>
      <c r="I251">
        <v>1236.58</v>
      </c>
      <c r="J251">
        <v>1</v>
      </c>
      <c r="K251">
        <v>0</v>
      </c>
      <c r="L251">
        <v>414</v>
      </c>
      <c r="M251">
        <v>828</v>
      </c>
      <c r="N251">
        <v>0</v>
      </c>
      <c r="O251">
        <v>-168</v>
      </c>
      <c r="P251">
        <v>-168</v>
      </c>
    </row>
    <row r="252" spans="1:16" x14ac:dyDescent="0.25">
      <c r="A252" s="1">
        <v>264</v>
      </c>
      <c r="B252" s="2">
        <v>45308</v>
      </c>
      <c r="C252">
        <v>0</v>
      </c>
      <c r="D252">
        <v>89509</v>
      </c>
      <c r="E252">
        <v>90542</v>
      </c>
      <c r="F252">
        <v>89381</v>
      </c>
      <c r="G252">
        <v>90255</v>
      </c>
      <c r="H252">
        <v>916160</v>
      </c>
      <c r="I252">
        <v>1231.18</v>
      </c>
      <c r="J252">
        <v>1</v>
      </c>
      <c r="K252">
        <v>1</v>
      </c>
      <c r="L252">
        <v>412</v>
      </c>
      <c r="M252">
        <v>824</v>
      </c>
      <c r="N252">
        <v>745</v>
      </c>
      <c r="O252">
        <v>0</v>
      </c>
      <c r="P252">
        <v>745</v>
      </c>
    </row>
    <row r="253" spans="1:16" x14ac:dyDescent="0.25">
      <c r="A253" s="1">
        <v>265</v>
      </c>
      <c r="B253" s="2">
        <v>45309</v>
      </c>
      <c r="C253">
        <v>0</v>
      </c>
      <c r="D253">
        <v>90507</v>
      </c>
      <c r="E253">
        <v>90720</v>
      </c>
      <c r="F253">
        <v>89923</v>
      </c>
      <c r="G253">
        <v>90489</v>
      </c>
      <c r="H253">
        <v>766002</v>
      </c>
      <c r="I253">
        <v>1200.17</v>
      </c>
      <c r="J253">
        <v>0</v>
      </c>
      <c r="K253">
        <v>1</v>
      </c>
      <c r="L253">
        <v>410</v>
      </c>
      <c r="M253">
        <v>821</v>
      </c>
      <c r="N253">
        <v>24</v>
      </c>
      <c r="O253">
        <v>0</v>
      </c>
      <c r="P253">
        <v>24</v>
      </c>
    </row>
    <row r="254" spans="1:16" x14ac:dyDescent="0.25">
      <c r="A254" s="1">
        <v>266</v>
      </c>
      <c r="B254" s="2">
        <v>45310</v>
      </c>
      <c r="C254">
        <v>0</v>
      </c>
      <c r="D254">
        <v>90480</v>
      </c>
      <c r="E254">
        <v>90481</v>
      </c>
      <c r="F254">
        <v>89507</v>
      </c>
      <c r="G254">
        <v>89668</v>
      </c>
      <c r="H254">
        <v>719369</v>
      </c>
      <c r="I254">
        <v>1184.58</v>
      </c>
      <c r="J254">
        <v>0</v>
      </c>
      <c r="K254">
        <v>0</v>
      </c>
      <c r="L254">
        <v>400</v>
      </c>
      <c r="M254">
        <v>800</v>
      </c>
      <c r="N254">
        <v>0</v>
      </c>
      <c r="O254">
        <v>800</v>
      </c>
      <c r="P254">
        <v>800</v>
      </c>
    </row>
    <row r="255" spans="1:16" x14ac:dyDescent="0.25">
      <c r="A255" s="1">
        <v>267</v>
      </c>
      <c r="B255" s="2">
        <v>45313</v>
      </c>
      <c r="C255">
        <v>0</v>
      </c>
      <c r="D255">
        <v>89723</v>
      </c>
      <c r="E255">
        <v>89830</v>
      </c>
      <c r="F255">
        <v>89042</v>
      </c>
      <c r="G255">
        <v>89501</v>
      </c>
      <c r="H255">
        <v>656888</v>
      </c>
      <c r="I255">
        <v>1156.26</v>
      </c>
      <c r="J255">
        <v>0</v>
      </c>
      <c r="K255">
        <v>0</v>
      </c>
      <c r="L255">
        <v>395</v>
      </c>
      <c r="M255">
        <v>790</v>
      </c>
      <c r="N255">
        <v>0</v>
      </c>
      <c r="O255">
        <v>159</v>
      </c>
      <c r="P255">
        <v>159</v>
      </c>
    </row>
    <row r="256" spans="1:16" x14ac:dyDescent="0.25">
      <c r="A256" s="1">
        <v>268</v>
      </c>
      <c r="B256" s="2">
        <v>45314</v>
      </c>
      <c r="C256">
        <v>0</v>
      </c>
      <c r="D256">
        <v>89444</v>
      </c>
      <c r="E256">
        <v>90520</v>
      </c>
      <c r="F256">
        <v>88988</v>
      </c>
      <c r="G256">
        <v>90297</v>
      </c>
      <c r="H256">
        <v>815010</v>
      </c>
      <c r="I256">
        <v>1183.0899999999999</v>
      </c>
      <c r="J256">
        <v>1</v>
      </c>
      <c r="K256">
        <v>0</v>
      </c>
      <c r="L256">
        <v>385</v>
      </c>
      <c r="M256">
        <v>771</v>
      </c>
      <c r="N256">
        <v>0</v>
      </c>
      <c r="O256">
        <v>385</v>
      </c>
      <c r="P256">
        <v>385</v>
      </c>
    </row>
    <row r="257" spans="1:16" x14ac:dyDescent="0.25">
      <c r="A257" s="1">
        <v>269</v>
      </c>
      <c r="B257" s="2">
        <v>45315</v>
      </c>
      <c r="C257">
        <v>0</v>
      </c>
      <c r="D257">
        <v>90016</v>
      </c>
      <c r="E257">
        <v>90242</v>
      </c>
      <c r="F257">
        <v>89598</v>
      </c>
      <c r="G257">
        <v>89968</v>
      </c>
      <c r="H257">
        <v>745197</v>
      </c>
      <c r="I257">
        <v>1148.52</v>
      </c>
      <c r="J257">
        <v>0</v>
      </c>
      <c r="K257">
        <v>1</v>
      </c>
      <c r="L257">
        <v>394</v>
      </c>
      <c r="M257">
        <v>789</v>
      </c>
      <c r="N257">
        <v>51</v>
      </c>
      <c r="O257">
        <v>0</v>
      </c>
      <c r="P257">
        <v>51</v>
      </c>
    </row>
    <row r="258" spans="1:16" x14ac:dyDescent="0.25">
      <c r="A258" s="1">
        <v>270</v>
      </c>
      <c r="B258" s="2">
        <v>45316</v>
      </c>
      <c r="C258">
        <v>0</v>
      </c>
      <c r="D258">
        <v>90018</v>
      </c>
      <c r="E258">
        <v>90983</v>
      </c>
      <c r="F258">
        <v>89942</v>
      </c>
      <c r="G258">
        <v>90505</v>
      </c>
      <c r="H258">
        <v>871678</v>
      </c>
      <c r="I258">
        <v>1140.8399999999999</v>
      </c>
      <c r="J258">
        <v>1</v>
      </c>
      <c r="K258">
        <v>0</v>
      </c>
      <c r="L258">
        <v>383</v>
      </c>
      <c r="M258">
        <v>766</v>
      </c>
      <c r="N258">
        <v>0</v>
      </c>
      <c r="O258">
        <v>-522</v>
      </c>
      <c r="P258">
        <v>-522</v>
      </c>
    </row>
    <row r="259" spans="1:16" x14ac:dyDescent="0.25">
      <c r="A259" s="1">
        <v>271</v>
      </c>
      <c r="B259" s="2">
        <v>45317</v>
      </c>
      <c r="C259">
        <v>0</v>
      </c>
      <c r="D259">
        <v>90678</v>
      </c>
      <c r="E259">
        <v>91640</v>
      </c>
      <c r="F259">
        <v>90505</v>
      </c>
      <c r="G259">
        <v>91560</v>
      </c>
      <c r="H259">
        <v>1085182</v>
      </c>
      <c r="I259">
        <v>1140.42</v>
      </c>
      <c r="J259">
        <v>1</v>
      </c>
      <c r="K259">
        <v>1</v>
      </c>
      <c r="L259">
        <v>380</v>
      </c>
      <c r="M259">
        <v>761</v>
      </c>
      <c r="N259">
        <v>761</v>
      </c>
      <c r="O259">
        <v>0</v>
      </c>
      <c r="P259">
        <v>761</v>
      </c>
    </row>
    <row r="260" spans="1:16" x14ac:dyDescent="0.25">
      <c r="A260" s="1">
        <v>272</v>
      </c>
      <c r="B260" s="2">
        <v>45320</v>
      </c>
      <c r="C260">
        <v>0</v>
      </c>
      <c r="D260">
        <v>91774</v>
      </c>
      <c r="E260">
        <v>91800</v>
      </c>
      <c r="F260">
        <v>90200</v>
      </c>
      <c r="G260">
        <v>90260</v>
      </c>
      <c r="H260">
        <v>898523</v>
      </c>
      <c r="I260">
        <v>1173.25</v>
      </c>
      <c r="J260">
        <v>0</v>
      </c>
      <c r="K260">
        <v>1</v>
      </c>
      <c r="L260">
        <v>380</v>
      </c>
      <c r="M260">
        <v>760</v>
      </c>
      <c r="N260">
        <v>380</v>
      </c>
      <c r="O260">
        <v>0</v>
      </c>
      <c r="P260">
        <v>380</v>
      </c>
    </row>
    <row r="261" spans="1:16" x14ac:dyDescent="0.25">
      <c r="A261" s="1">
        <v>273</v>
      </c>
      <c r="B261" s="2">
        <v>45321</v>
      </c>
      <c r="C261">
        <v>0</v>
      </c>
      <c r="D261">
        <v>90293</v>
      </c>
      <c r="E261">
        <v>91020</v>
      </c>
      <c r="F261">
        <v>89919</v>
      </c>
      <c r="G261">
        <v>90820</v>
      </c>
      <c r="H261">
        <v>746473</v>
      </c>
      <c r="I261">
        <v>1168.0899999999999</v>
      </c>
      <c r="J261">
        <v>1</v>
      </c>
      <c r="K261">
        <v>0</v>
      </c>
      <c r="L261">
        <v>391</v>
      </c>
      <c r="M261">
        <v>782</v>
      </c>
      <c r="N261">
        <v>0</v>
      </c>
      <c r="O261">
        <v>-572</v>
      </c>
      <c r="P261">
        <v>-572</v>
      </c>
    </row>
    <row r="262" spans="1:16" x14ac:dyDescent="0.25">
      <c r="A262" s="1">
        <v>274</v>
      </c>
      <c r="B262" s="2">
        <v>45322</v>
      </c>
      <c r="C262">
        <v>0</v>
      </c>
      <c r="D262">
        <v>90848</v>
      </c>
      <c r="E262">
        <v>91488</v>
      </c>
      <c r="F262">
        <v>90579</v>
      </c>
      <c r="G262">
        <v>91457</v>
      </c>
      <c r="H262">
        <v>972957</v>
      </c>
      <c r="I262">
        <v>1149.58</v>
      </c>
      <c r="J262">
        <v>1</v>
      </c>
      <c r="K262">
        <v>1</v>
      </c>
      <c r="L262">
        <v>389</v>
      </c>
      <c r="M262">
        <v>779</v>
      </c>
      <c r="N262">
        <v>601</v>
      </c>
      <c r="O262">
        <v>0</v>
      </c>
      <c r="P262">
        <v>601</v>
      </c>
    </row>
    <row r="263" spans="1:16" x14ac:dyDescent="0.25">
      <c r="A263" s="1">
        <v>275</v>
      </c>
      <c r="B263" s="2">
        <v>45323</v>
      </c>
      <c r="C263">
        <v>0</v>
      </c>
      <c r="D263">
        <v>91481</v>
      </c>
      <c r="E263">
        <v>92000</v>
      </c>
      <c r="F263">
        <v>91131</v>
      </c>
      <c r="G263">
        <v>91834</v>
      </c>
      <c r="H263">
        <v>793348</v>
      </c>
      <c r="I263">
        <v>1129.54</v>
      </c>
      <c r="J263">
        <v>1</v>
      </c>
      <c r="K263">
        <v>1</v>
      </c>
      <c r="L263">
        <v>383</v>
      </c>
      <c r="M263">
        <v>766</v>
      </c>
      <c r="N263">
        <v>420</v>
      </c>
      <c r="O263">
        <v>0</v>
      </c>
      <c r="P263">
        <v>420</v>
      </c>
    </row>
    <row r="264" spans="1:16" x14ac:dyDescent="0.25">
      <c r="A264" s="1">
        <v>276</v>
      </c>
      <c r="B264" s="2">
        <v>45324</v>
      </c>
      <c r="C264">
        <v>0</v>
      </c>
      <c r="D264">
        <v>91939</v>
      </c>
      <c r="E264">
        <v>92795</v>
      </c>
      <c r="F264">
        <v>91772</v>
      </c>
      <c r="G264">
        <v>92184</v>
      </c>
      <c r="H264">
        <v>1038800</v>
      </c>
      <c r="I264">
        <v>1121.93</v>
      </c>
      <c r="J264">
        <v>1</v>
      </c>
      <c r="K264">
        <v>1</v>
      </c>
      <c r="L264">
        <v>377</v>
      </c>
      <c r="M264">
        <v>753</v>
      </c>
      <c r="N264">
        <v>271</v>
      </c>
      <c r="O264">
        <v>0</v>
      </c>
      <c r="P264">
        <v>271</v>
      </c>
    </row>
    <row r="265" spans="1:16" x14ac:dyDescent="0.25">
      <c r="A265" s="1">
        <v>277</v>
      </c>
      <c r="B265" s="2">
        <v>45327</v>
      </c>
      <c r="C265">
        <v>0</v>
      </c>
      <c r="D265">
        <v>92310</v>
      </c>
      <c r="E265">
        <v>93144</v>
      </c>
      <c r="F265">
        <v>91531</v>
      </c>
      <c r="G265">
        <v>91774</v>
      </c>
      <c r="H265">
        <v>1215951</v>
      </c>
      <c r="I265">
        <v>1157.01</v>
      </c>
      <c r="J265">
        <v>0</v>
      </c>
      <c r="K265">
        <v>1</v>
      </c>
      <c r="L265">
        <v>374</v>
      </c>
      <c r="M265">
        <v>748</v>
      </c>
      <c r="N265">
        <v>374</v>
      </c>
      <c r="O265">
        <v>0</v>
      </c>
      <c r="P265">
        <v>374</v>
      </c>
    </row>
    <row r="266" spans="1:16" x14ac:dyDescent="0.25">
      <c r="A266" s="1">
        <v>278</v>
      </c>
      <c r="B266" s="2">
        <v>45328</v>
      </c>
      <c r="C266">
        <v>0</v>
      </c>
      <c r="D266">
        <v>91771</v>
      </c>
      <c r="E266">
        <v>92559</v>
      </c>
      <c r="F266">
        <v>91680</v>
      </c>
      <c r="G266">
        <v>92469</v>
      </c>
      <c r="H266">
        <v>706853</v>
      </c>
      <c r="I266">
        <v>1137.1500000000001</v>
      </c>
      <c r="J266">
        <v>1</v>
      </c>
      <c r="K266">
        <v>0</v>
      </c>
      <c r="L266">
        <v>386</v>
      </c>
      <c r="M266">
        <v>771</v>
      </c>
      <c r="N266">
        <v>0</v>
      </c>
      <c r="O266">
        <v>-715</v>
      </c>
      <c r="P266">
        <v>-715</v>
      </c>
    </row>
    <row r="267" spans="1:16" x14ac:dyDescent="0.25">
      <c r="A267" s="1">
        <v>279</v>
      </c>
      <c r="B267" s="2">
        <v>45329</v>
      </c>
      <c r="C267">
        <v>0</v>
      </c>
      <c r="D267">
        <v>92410</v>
      </c>
      <c r="E267">
        <v>92846</v>
      </c>
      <c r="F267">
        <v>91934</v>
      </c>
      <c r="G267">
        <v>92573</v>
      </c>
      <c r="H267">
        <v>790778</v>
      </c>
      <c r="I267">
        <v>1121.07</v>
      </c>
      <c r="J267">
        <v>1</v>
      </c>
      <c r="K267">
        <v>1</v>
      </c>
      <c r="L267">
        <v>379</v>
      </c>
      <c r="M267">
        <v>758</v>
      </c>
      <c r="N267">
        <v>224</v>
      </c>
      <c r="O267">
        <v>0</v>
      </c>
      <c r="P267">
        <v>224</v>
      </c>
    </row>
    <row r="268" spans="1:16" x14ac:dyDescent="0.25">
      <c r="A268" s="1">
        <v>280</v>
      </c>
      <c r="B268" s="2">
        <v>45330</v>
      </c>
      <c r="C268">
        <v>0</v>
      </c>
      <c r="D268">
        <v>92566</v>
      </c>
      <c r="E268">
        <v>92721</v>
      </c>
      <c r="F268">
        <v>91439</v>
      </c>
      <c r="G268">
        <v>91585</v>
      </c>
      <c r="H268">
        <v>939365</v>
      </c>
      <c r="I268">
        <v>1132.56</v>
      </c>
      <c r="J268">
        <v>0</v>
      </c>
      <c r="K268">
        <v>1</v>
      </c>
      <c r="L268">
        <v>374</v>
      </c>
      <c r="M268">
        <v>747</v>
      </c>
      <c r="N268">
        <v>374</v>
      </c>
      <c r="O268">
        <v>0</v>
      </c>
      <c r="P268">
        <v>374</v>
      </c>
    </row>
    <row r="269" spans="1:16" x14ac:dyDescent="0.25">
      <c r="A269" s="1">
        <v>281</v>
      </c>
      <c r="B269" s="2">
        <v>45331</v>
      </c>
      <c r="C269">
        <v>0</v>
      </c>
      <c r="D269">
        <v>91683</v>
      </c>
      <c r="E269">
        <v>92048</v>
      </c>
      <c r="F269">
        <v>91327</v>
      </c>
      <c r="G269">
        <v>91941</v>
      </c>
      <c r="H269">
        <v>736507</v>
      </c>
      <c r="I269">
        <v>1103.1600000000001</v>
      </c>
      <c r="J269">
        <v>1</v>
      </c>
      <c r="K269">
        <v>0</v>
      </c>
      <c r="L269">
        <v>378</v>
      </c>
      <c r="M269">
        <v>755</v>
      </c>
      <c r="N269">
        <v>0</v>
      </c>
      <c r="O269">
        <v>-276</v>
      </c>
      <c r="P269">
        <v>-276</v>
      </c>
    </row>
    <row r="270" spans="1:16" x14ac:dyDescent="0.25">
      <c r="A270" s="1">
        <v>282</v>
      </c>
      <c r="B270" s="2">
        <v>45334</v>
      </c>
      <c r="C270">
        <v>0</v>
      </c>
      <c r="D270">
        <v>91919</v>
      </c>
      <c r="E270">
        <v>92266</v>
      </c>
      <c r="F270">
        <v>91600</v>
      </c>
      <c r="G270">
        <v>92016</v>
      </c>
      <c r="H270">
        <v>744786</v>
      </c>
      <c r="I270">
        <v>1071.94</v>
      </c>
      <c r="J270">
        <v>1</v>
      </c>
      <c r="K270">
        <v>1</v>
      </c>
      <c r="L270">
        <v>368</v>
      </c>
      <c r="M270">
        <v>735</v>
      </c>
      <c r="N270">
        <v>86</v>
      </c>
      <c r="O270">
        <v>0</v>
      </c>
      <c r="P270">
        <v>86</v>
      </c>
    </row>
    <row r="271" spans="1:16" x14ac:dyDescent="0.25">
      <c r="A271" s="1">
        <v>283</v>
      </c>
      <c r="B271" s="2">
        <v>45335</v>
      </c>
      <c r="C271">
        <v>0</v>
      </c>
      <c r="D271">
        <v>91985</v>
      </c>
      <c r="E271">
        <v>92355</v>
      </c>
      <c r="F271">
        <v>91811</v>
      </c>
      <c r="G271">
        <v>92028</v>
      </c>
      <c r="H271">
        <v>653896</v>
      </c>
      <c r="I271">
        <v>1034.23</v>
      </c>
      <c r="J271">
        <v>1</v>
      </c>
      <c r="K271">
        <v>1</v>
      </c>
      <c r="L271">
        <v>357</v>
      </c>
      <c r="M271">
        <v>715</v>
      </c>
      <c r="N271">
        <v>127</v>
      </c>
      <c r="O271">
        <v>0</v>
      </c>
      <c r="P271">
        <v>127</v>
      </c>
    </row>
    <row r="272" spans="1:16" x14ac:dyDescent="0.25">
      <c r="A272" s="1">
        <v>284</v>
      </c>
      <c r="B272" s="2">
        <v>45336</v>
      </c>
      <c r="C272">
        <v>0</v>
      </c>
      <c r="D272">
        <v>92078</v>
      </c>
      <c r="E272">
        <v>92551</v>
      </c>
      <c r="F272">
        <v>91959</v>
      </c>
      <c r="G272">
        <v>92367</v>
      </c>
      <c r="H272">
        <v>653793</v>
      </c>
      <c r="I272">
        <v>1002.64</v>
      </c>
      <c r="J272">
        <v>1</v>
      </c>
      <c r="K272">
        <v>1</v>
      </c>
      <c r="L272">
        <v>345</v>
      </c>
      <c r="M272">
        <v>689</v>
      </c>
      <c r="N272">
        <v>307</v>
      </c>
      <c r="O272">
        <v>0</v>
      </c>
      <c r="P272">
        <v>307</v>
      </c>
    </row>
    <row r="273" spans="1:16" x14ac:dyDescent="0.25">
      <c r="A273" s="1">
        <v>285</v>
      </c>
      <c r="B273" s="2">
        <v>45337</v>
      </c>
      <c r="C273">
        <v>0</v>
      </c>
      <c r="D273">
        <v>92390</v>
      </c>
      <c r="E273">
        <v>93173</v>
      </c>
      <c r="F273">
        <v>92183</v>
      </c>
      <c r="G273">
        <v>92934</v>
      </c>
      <c r="H273">
        <v>900648</v>
      </c>
      <c r="I273">
        <v>1001.74</v>
      </c>
      <c r="J273">
        <v>1</v>
      </c>
      <c r="K273">
        <v>1</v>
      </c>
      <c r="L273">
        <v>334</v>
      </c>
      <c r="M273">
        <v>668</v>
      </c>
      <c r="N273">
        <v>574</v>
      </c>
      <c r="O273">
        <v>0</v>
      </c>
      <c r="P273">
        <v>574</v>
      </c>
    </row>
    <row r="274" spans="1:16" x14ac:dyDescent="0.25">
      <c r="A274" s="1">
        <v>286</v>
      </c>
      <c r="B274" s="2">
        <v>45338</v>
      </c>
      <c r="C274">
        <v>0</v>
      </c>
      <c r="D274">
        <v>92993</v>
      </c>
      <c r="E274">
        <v>93443</v>
      </c>
      <c r="F274">
        <v>92277</v>
      </c>
      <c r="G274">
        <v>92519</v>
      </c>
      <c r="H274">
        <v>1342145</v>
      </c>
      <c r="I274">
        <v>1013.47</v>
      </c>
      <c r="J274">
        <v>0</v>
      </c>
      <c r="K274">
        <v>1</v>
      </c>
      <c r="L274">
        <v>334</v>
      </c>
      <c r="M274">
        <v>668</v>
      </c>
      <c r="N274">
        <v>334</v>
      </c>
      <c r="O274">
        <v>0</v>
      </c>
      <c r="P274">
        <v>334</v>
      </c>
    </row>
    <row r="275" spans="1:16" x14ac:dyDescent="0.25">
      <c r="A275" s="1">
        <v>287</v>
      </c>
      <c r="B275" s="2">
        <v>45341</v>
      </c>
      <c r="C275">
        <v>0</v>
      </c>
      <c r="D275">
        <v>92558</v>
      </c>
      <c r="E275">
        <v>93120</v>
      </c>
      <c r="F275">
        <v>92545</v>
      </c>
      <c r="G275">
        <v>92990</v>
      </c>
      <c r="H275">
        <v>681571</v>
      </c>
      <c r="I275">
        <v>984.01</v>
      </c>
      <c r="J275">
        <v>1</v>
      </c>
      <c r="K275">
        <v>0</v>
      </c>
      <c r="L275">
        <v>338</v>
      </c>
      <c r="M275">
        <v>676</v>
      </c>
      <c r="N275">
        <v>0</v>
      </c>
      <c r="O275">
        <v>-436</v>
      </c>
      <c r="P275">
        <v>-436</v>
      </c>
    </row>
    <row r="276" spans="1:16" x14ac:dyDescent="0.25">
      <c r="A276" s="1">
        <v>288</v>
      </c>
      <c r="B276" s="2">
        <v>45342</v>
      </c>
      <c r="C276">
        <v>0</v>
      </c>
      <c r="D276">
        <v>93098</v>
      </c>
      <c r="E276">
        <v>93127</v>
      </c>
      <c r="F276">
        <v>92559</v>
      </c>
      <c r="G276">
        <v>92746</v>
      </c>
      <c r="H276">
        <v>734382</v>
      </c>
      <c r="I276">
        <v>954.29</v>
      </c>
      <c r="J276">
        <v>0</v>
      </c>
      <c r="K276">
        <v>1</v>
      </c>
      <c r="L276">
        <v>328</v>
      </c>
      <c r="M276">
        <v>656</v>
      </c>
      <c r="N276">
        <v>328</v>
      </c>
      <c r="O276">
        <v>0</v>
      </c>
      <c r="P276">
        <v>328</v>
      </c>
    </row>
    <row r="277" spans="1:16" x14ac:dyDescent="0.25">
      <c r="A277" s="1">
        <v>289</v>
      </c>
      <c r="B277" s="2">
        <v>45343</v>
      </c>
      <c r="C277">
        <v>0</v>
      </c>
      <c r="D277">
        <v>92699</v>
      </c>
      <c r="E277">
        <v>93265</v>
      </c>
      <c r="F277">
        <v>92571</v>
      </c>
      <c r="G277">
        <v>93153</v>
      </c>
      <c r="H277">
        <v>996511</v>
      </c>
      <c r="I277">
        <v>935.7</v>
      </c>
      <c r="J277">
        <v>1</v>
      </c>
      <c r="K277">
        <v>0</v>
      </c>
      <c r="L277">
        <v>318</v>
      </c>
      <c r="M277">
        <v>636</v>
      </c>
      <c r="N277">
        <v>0</v>
      </c>
      <c r="O277">
        <v>-458</v>
      </c>
      <c r="P277">
        <v>-458</v>
      </c>
    </row>
    <row r="278" spans="1:16" x14ac:dyDescent="0.25">
      <c r="A278" s="1">
        <v>290</v>
      </c>
      <c r="B278" s="2">
        <v>45344</v>
      </c>
      <c r="C278">
        <v>0</v>
      </c>
      <c r="D278">
        <v>93212</v>
      </c>
      <c r="E278">
        <v>93617</v>
      </c>
      <c r="F278">
        <v>91990</v>
      </c>
      <c r="G278">
        <v>93330</v>
      </c>
      <c r="H278">
        <v>1640029</v>
      </c>
      <c r="I278">
        <v>985.08</v>
      </c>
      <c r="J278">
        <v>1</v>
      </c>
      <c r="K278">
        <v>1</v>
      </c>
      <c r="L278">
        <v>312</v>
      </c>
      <c r="M278">
        <v>624</v>
      </c>
      <c r="N278">
        <v>74</v>
      </c>
      <c r="O278">
        <v>0</v>
      </c>
      <c r="P278">
        <v>74</v>
      </c>
    </row>
    <row r="279" spans="1:16" x14ac:dyDescent="0.25">
      <c r="A279" s="1">
        <v>291</v>
      </c>
      <c r="B279" s="2">
        <v>45348</v>
      </c>
      <c r="C279">
        <v>0</v>
      </c>
      <c r="D279">
        <v>93284</v>
      </c>
      <c r="E279">
        <v>93284</v>
      </c>
      <c r="F279">
        <v>92180</v>
      </c>
      <c r="G279">
        <v>92604</v>
      </c>
      <c r="H279">
        <v>798693</v>
      </c>
      <c r="I279">
        <v>996.86</v>
      </c>
      <c r="J279">
        <v>0</v>
      </c>
      <c r="K279">
        <v>1</v>
      </c>
      <c r="L279">
        <v>328</v>
      </c>
      <c r="M279">
        <v>657</v>
      </c>
      <c r="N279">
        <v>328</v>
      </c>
      <c r="O279">
        <v>0</v>
      </c>
      <c r="P279">
        <v>328</v>
      </c>
    </row>
    <row r="280" spans="1:16" x14ac:dyDescent="0.25">
      <c r="A280" s="1">
        <v>292</v>
      </c>
      <c r="B280" s="2">
        <v>45349</v>
      </c>
      <c r="C280">
        <v>0</v>
      </c>
      <c r="D280">
        <v>92604</v>
      </c>
      <c r="E280">
        <v>92810</v>
      </c>
      <c r="F280">
        <v>92238</v>
      </c>
      <c r="G280">
        <v>92577</v>
      </c>
      <c r="H280">
        <v>557101</v>
      </c>
      <c r="I280">
        <v>966.51</v>
      </c>
      <c r="J280">
        <v>0</v>
      </c>
      <c r="K280">
        <v>0</v>
      </c>
      <c r="L280">
        <v>332</v>
      </c>
      <c r="M280">
        <v>665</v>
      </c>
      <c r="N280">
        <v>0</v>
      </c>
      <c r="O280">
        <v>13</v>
      </c>
      <c r="P280">
        <v>13</v>
      </c>
    </row>
    <row r="281" spans="1:16" x14ac:dyDescent="0.25">
      <c r="A281" s="1">
        <v>293</v>
      </c>
      <c r="B281" s="2">
        <v>45350</v>
      </c>
      <c r="C281">
        <v>0</v>
      </c>
      <c r="D281">
        <v>92663</v>
      </c>
      <c r="E281">
        <v>92697</v>
      </c>
      <c r="F281">
        <v>91609</v>
      </c>
      <c r="G281">
        <v>91710</v>
      </c>
      <c r="H281">
        <v>881571</v>
      </c>
      <c r="I281">
        <v>975.19</v>
      </c>
      <c r="J281">
        <v>0</v>
      </c>
      <c r="K281">
        <v>0</v>
      </c>
      <c r="L281">
        <v>322</v>
      </c>
      <c r="M281">
        <v>644</v>
      </c>
      <c r="N281">
        <v>0</v>
      </c>
      <c r="O281">
        <v>644</v>
      </c>
      <c r="P281">
        <v>644</v>
      </c>
    </row>
    <row r="282" spans="1:16" x14ac:dyDescent="0.25">
      <c r="A282" s="1">
        <v>294</v>
      </c>
      <c r="B282" s="2">
        <v>45351</v>
      </c>
      <c r="C282">
        <v>0</v>
      </c>
      <c r="D282">
        <v>91740</v>
      </c>
      <c r="E282">
        <v>91899</v>
      </c>
      <c r="F282">
        <v>91071</v>
      </c>
      <c r="G282">
        <v>91490</v>
      </c>
      <c r="H282">
        <v>931363</v>
      </c>
      <c r="I282">
        <v>964.68</v>
      </c>
      <c r="J282">
        <v>0</v>
      </c>
      <c r="K282">
        <v>0</v>
      </c>
      <c r="L282">
        <v>325</v>
      </c>
      <c r="M282">
        <v>650</v>
      </c>
      <c r="N282">
        <v>0</v>
      </c>
      <c r="O282">
        <v>207</v>
      </c>
      <c r="P282">
        <v>207</v>
      </c>
    </row>
    <row r="283" spans="1:16" x14ac:dyDescent="0.25">
      <c r="A283" s="1">
        <v>295</v>
      </c>
      <c r="B283" s="2">
        <v>45352</v>
      </c>
      <c r="C283">
        <v>0</v>
      </c>
      <c r="D283">
        <v>91628</v>
      </c>
      <c r="E283">
        <v>92368</v>
      </c>
      <c r="F283">
        <v>91628</v>
      </c>
      <c r="G283">
        <v>92156</v>
      </c>
      <c r="H283">
        <v>609735</v>
      </c>
      <c r="I283">
        <v>958.49</v>
      </c>
      <c r="J283">
        <v>1</v>
      </c>
      <c r="K283">
        <v>0</v>
      </c>
      <c r="L283">
        <v>322</v>
      </c>
      <c r="M283">
        <v>643</v>
      </c>
      <c r="N283">
        <v>0</v>
      </c>
      <c r="O283">
        <v>-536</v>
      </c>
      <c r="P283">
        <v>-536</v>
      </c>
    </row>
    <row r="284" spans="1:16" x14ac:dyDescent="0.25">
      <c r="A284" s="1">
        <v>296</v>
      </c>
      <c r="B284" s="2">
        <v>45355</v>
      </c>
      <c r="C284">
        <v>0</v>
      </c>
      <c r="D284">
        <v>92154</v>
      </c>
      <c r="E284">
        <v>92200</v>
      </c>
      <c r="F284">
        <v>91485</v>
      </c>
      <c r="G284">
        <v>91645</v>
      </c>
      <c r="H284">
        <v>579661</v>
      </c>
      <c r="I284">
        <v>941.09</v>
      </c>
      <c r="J284">
        <v>0</v>
      </c>
      <c r="K284">
        <v>1</v>
      </c>
      <c r="L284">
        <v>319</v>
      </c>
      <c r="M284">
        <v>639</v>
      </c>
      <c r="N284">
        <v>319</v>
      </c>
      <c r="O284">
        <v>0</v>
      </c>
      <c r="P284">
        <v>319</v>
      </c>
    </row>
    <row r="285" spans="1:16" x14ac:dyDescent="0.25">
      <c r="A285" s="1">
        <v>297</v>
      </c>
      <c r="B285" s="2">
        <v>45356</v>
      </c>
      <c r="C285">
        <v>0</v>
      </c>
      <c r="D285">
        <v>91706</v>
      </c>
      <c r="E285">
        <v>91836</v>
      </c>
      <c r="F285">
        <v>91051</v>
      </c>
      <c r="G285">
        <v>91104</v>
      </c>
      <c r="H285">
        <v>617560</v>
      </c>
      <c r="I285">
        <v>929.94</v>
      </c>
      <c r="J285">
        <v>0</v>
      </c>
      <c r="K285">
        <v>0</v>
      </c>
      <c r="L285">
        <v>314</v>
      </c>
      <c r="M285">
        <v>627</v>
      </c>
      <c r="N285">
        <v>0</v>
      </c>
      <c r="O285">
        <v>562</v>
      </c>
      <c r="P285">
        <v>562</v>
      </c>
    </row>
    <row r="286" spans="1:16" x14ac:dyDescent="0.25">
      <c r="A286" s="1">
        <v>298</v>
      </c>
      <c r="B286" s="2">
        <v>45357</v>
      </c>
      <c r="C286">
        <v>0</v>
      </c>
      <c r="D286">
        <v>91186</v>
      </c>
      <c r="E286">
        <v>91472</v>
      </c>
      <c r="F286">
        <v>90692</v>
      </c>
      <c r="G286">
        <v>91238</v>
      </c>
      <c r="H286">
        <v>753363</v>
      </c>
      <c r="I286">
        <v>919.23</v>
      </c>
      <c r="J286">
        <v>1</v>
      </c>
      <c r="K286">
        <v>0</v>
      </c>
      <c r="L286">
        <v>310</v>
      </c>
      <c r="M286">
        <v>620</v>
      </c>
      <c r="N286">
        <v>0</v>
      </c>
      <c r="O286">
        <v>-13</v>
      </c>
      <c r="P286">
        <v>-13</v>
      </c>
    </row>
    <row r="287" spans="1:16" x14ac:dyDescent="0.25">
      <c r="A287" s="1">
        <v>299</v>
      </c>
      <c r="B287" s="2">
        <v>45358</v>
      </c>
      <c r="C287">
        <v>0</v>
      </c>
      <c r="D287">
        <v>91249</v>
      </c>
      <c r="E287">
        <v>91695</v>
      </c>
      <c r="F287">
        <v>91110</v>
      </c>
      <c r="G287">
        <v>91239</v>
      </c>
      <c r="H287">
        <v>701617</v>
      </c>
      <c r="I287">
        <v>895.36</v>
      </c>
      <c r="J287">
        <v>0</v>
      </c>
      <c r="K287">
        <v>1</v>
      </c>
      <c r="L287">
        <v>306</v>
      </c>
      <c r="M287">
        <v>613</v>
      </c>
      <c r="N287">
        <v>-28</v>
      </c>
      <c r="O287">
        <v>0</v>
      </c>
      <c r="P287">
        <v>-28</v>
      </c>
    </row>
    <row r="288" spans="1:16" x14ac:dyDescent="0.25">
      <c r="A288" s="1">
        <v>300</v>
      </c>
      <c r="B288" s="2">
        <v>45362</v>
      </c>
      <c r="C288">
        <v>0</v>
      </c>
      <c r="D288">
        <v>91272</v>
      </c>
      <c r="E288">
        <v>91323</v>
      </c>
      <c r="F288">
        <v>90779</v>
      </c>
      <c r="G288">
        <v>91027</v>
      </c>
      <c r="H288">
        <v>583909</v>
      </c>
      <c r="I288">
        <v>870.26</v>
      </c>
      <c r="J288">
        <v>0</v>
      </c>
      <c r="K288">
        <v>0</v>
      </c>
      <c r="L288">
        <v>298</v>
      </c>
      <c r="M288">
        <v>597</v>
      </c>
      <c r="N288">
        <v>0</v>
      </c>
      <c r="O288">
        <v>198</v>
      </c>
      <c r="P288">
        <v>198</v>
      </c>
    </row>
    <row r="289" spans="1:16" x14ac:dyDescent="0.25">
      <c r="A289" s="1">
        <v>301</v>
      </c>
      <c r="B289" s="2">
        <v>45363</v>
      </c>
      <c r="C289">
        <v>0</v>
      </c>
      <c r="D289">
        <v>91023</v>
      </c>
      <c r="E289">
        <v>92220</v>
      </c>
      <c r="F289">
        <v>90961</v>
      </c>
      <c r="G289">
        <v>92178</v>
      </c>
      <c r="H289">
        <v>816204</v>
      </c>
      <c r="I289">
        <v>898.03</v>
      </c>
      <c r="J289">
        <v>1</v>
      </c>
      <c r="K289">
        <v>0</v>
      </c>
      <c r="L289">
        <v>290</v>
      </c>
      <c r="M289">
        <v>580</v>
      </c>
      <c r="N289">
        <v>0</v>
      </c>
      <c r="O289">
        <v>290</v>
      </c>
      <c r="P289">
        <v>290</v>
      </c>
    </row>
    <row r="290" spans="1:16" x14ac:dyDescent="0.25">
      <c r="A290" s="1">
        <v>302</v>
      </c>
      <c r="B290" s="2">
        <v>45364</v>
      </c>
      <c r="C290">
        <v>0</v>
      </c>
      <c r="D290">
        <v>92134</v>
      </c>
      <c r="E290">
        <v>92160</v>
      </c>
      <c r="F290">
        <v>91542</v>
      </c>
      <c r="G290">
        <v>91815</v>
      </c>
      <c r="H290">
        <v>704369</v>
      </c>
      <c r="I290">
        <v>879.31</v>
      </c>
      <c r="J290">
        <v>0</v>
      </c>
      <c r="K290">
        <v>1</v>
      </c>
      <c r="L290">
        <v>299</v>
      </c>
      <c r="M290">
        <v>599</v>
      </c>
      <c r="N290">
        <v>299</v>
      </c>
      <c r="O290">
        <v>0</v>
      </c>
      <c r="P290">
        <v>299</v>
      </c>
    </row>
    <row r="291" spans="1:16" x14ac:dyDescent="0.25">
      <c r="A291" s="1">
        <v>303</v>
      </c>
      <c r="B291" s="2">
        <v>45365</v>
      </c>
      <c r="C291">
        <v>0</v>
      </c>
      <c r="D291">
        <v>91829</v>
      </c>
      <c r="E291">
        <v>92260</v>
      </c>
      <c r="F291">
        <v>91763</v>
      </c>
      <c r="G291">
        <v>91970</v>
      </c>
      <c r="H291">
        <v>707933</v>
      </c>
      <c r="I291">
        <v>852.01</v>
      </c>
      <c r="J291">
        <v>1</v>
      </c>
      <c r="K291">
        <v>0</v>
      </c>
      <c r="L291">
        <v>293</v>
      </c>
      <c r="M291">
        <v>586</v>
      </c>
      <c r="N291">
        <v>0</v>
      </c>
      <c r="O291">
        <v>-168</v>
      </c>
      <c r="P291">
        <v>-168</v>
      </c>
    </row>
    <row r="292" spans="1:16" x14ac:dyDescent="0.25">
      <c r="A292" s="1">
        <v>304</v>
      </c>
      <c r="B292" s="2">
        <v>45366</v>
      </c>
      <c r="C292">
        <v>0</v>
      </c>
      <c r="D292">
        <v>92042</v>
      </c>
      <c r="E292">
        <v>93049</v>
      </c>
      <c r="F292">
        <v>91869</v>
      </c>
      <c r="G292">
        <v>92860</v>
      </c>
      <c r="H292">
        <v>728532</v>
      </c>
      <c r="I292">
        <v>875.43</v>
      </c>
      <c r="J292">
        <v>1</v>
      </c>
      <c r="K292">
        <v>1</v>
      </c>
      <c r="L292">
        <v>284</v>
      </c>
      <c r="M292">
        <v>568</v>
      </c>
      <c r="N292">
        <v>568</v>
      </c>
      <c r="O292">
        <v>0</v>
      </c>
      <c r="P292">
        <v>568</v>
      </c>
    </row>
    <row r="293" spans="1:16" x14ac:dyDescent="0.25">
      <c r="A293" s="1">
        <v>305</v>
      </c>
      <c r="B293" s="2">
        <v>45369</v>
      </c>
      <c r="C293">
        <v>0</v>
      </c>
      <c r="D293">
        <v>92933</v>
      </c>
      <c r="E293">
        <v>93000</v>
      </c>
      <c r="F293">
        <v>91456</v>
      </c>
      <c r="G293">
        <v>92037</v>
      </c>
      <c r="H293">
        <v>883903</v>
      </c>
      <c r="I293">
        <v>923.19</v>
      </c>
      <c r="J293">
        <v>0</v>
      </c>
      <c r="K293">
        <v>1</v>
      </c>
      <c r="L293">
        <v>292</v>
      </c>
      <c r="M293">
        <v>584</v>
      </c>
      <c r="N293">
        <v>292</v>
      </c>
      <c r="O293">
        <v>0</v>
      </c>
      <c r="P293">
        <v>292</v>
      </c>
    </row>
    <row r="294" spans="1:16" x14ac:dyDescent="0.25">
      <c r="A294" s="1">
        <v>306</v>
      </c>
      <c r="B294" s="2">
        <v>45370</v>
      </c>
      <c r="C294">
        <v>0</v>
      </c>
      <c r="D294">
        <v>92042</v>
      </c>
      <c r="E294">
        <v>92943</v>
      </c>
      <c r="F294">
        <v>91888</v>
      </c>
      <c r="G294">
        <v>92702</v>
      </c>
      <c r="H294">
        <v>757951</v>
      </c>
      <c r="I294">
        <v>932.6</v>
      </c>
      <c r="J294">
        <v>1</v>
      </c>
      <c r="K294">
        <v>0</v>
      </c>
      <c r="L294">
        <v>308</v>
      </c>
      <c r="M294">
        <v>615</v>
      </c>
      <c r="N294">
        <v>0</v>
      </c>
      <c r="O294">
        <v>308</v>
      </c>
      <c r="P294">
        <v>308</v>
      </c>
    </row>
    <row r="295" spans="1:16" x14ac:dyDescent="0.25">
      <c r="A295" s="1">
        <v>307</v>
      </c>
      <c r="B295" s="2">
        <v>45371</v>
      </c>
      <c r="C295">
        <v>0</v>
      </c>
      <c r="D295">
        <v>94848</v>
      </c>
      <c r="E295">
        <v>95251</v>
      </c>
      <c r="F295">
        <v>94578</v>
      </c>
      <c r="G295">
        <v>94900</v>
      </c>
      <c r="H295">
        <v>534511</v>
      </c>
      <c r="I295">
        <v>1048.06</v>
      </c>
      <c r="J295">
        <v>1</v>
      </c>
      <c r="K295">
        <v>1</v>
      </c>
      <c r="L295">
        <v>311</v>
      </c>
      <c r="M295">
        <v>622</v>
      </c>
      <c r="N295">
        <v>40</v>
      </c>
      <c r="O295">
        <v>0</v>
      </c>
      <c r="P295">
        <v>40</v>
      </c>
    </row>
    <row r="296" spans="1:16" x14ac:dyDescent="0.25">
      <c r="A296" s="1">
        <v>308</v>
      </c>
      <c r="B296" s="2">
        <v>45372</v>
      </c>
      <c r="C296">
        <v>0</v>
      </c>
      <c r="D296">
        <v>94817</v>
      </c>
      <c r="E296">
        <v>95113</v>
      </c>
      <c r="F296">
        <v>93901</v>
      </c>
      <c r="G296">
        <v>94597</v>
      </c>
      <c r="H296">
        <v>1099740</v>
      </c>
      <c r="I296">
        <v>1059.77</v>
      </c>
      <c r="J296">
        <v>0</v>
      </c>
      <c r="K296">
        <v>1</v>
      </c>
      <c r="L296">
        <v>349</v>
      </c>
      <c r="M296">
        <v>699</v>
      </c>
      <c r="N296">
        <v>-225</v>
      </c>
      <c r="O296">
        <v>0</v>
      </c>
      <c r="P296">
        <v>-225</v>
      </c>
    </row>
    <row r="297" spans="1:16" x14ac:dyDescent="0.25">
      <c r="A297" s="1">
        <v>309</v>
      </c>
      <c r="B297" s="2">
        <v>45373</v>
      </c>
      <c r="C297">
        <v>0</v>
      </c>
      <c r="D297">
        <v>94707</v>
      </c>
      <c r="E297">
        <v>96085</v>
      </c>
      <c r="F297">
        <v>94584</v>
      </c>
      <c r="G297">
        <v>95705</v>
      </c>
      <c r="H297">
        <v>928730</v>
      </c>
      <c r="I297">
        <v>1091.29</v>
      </c>
      <c r="J297">
        <v>1</v>
      </c>
      <c r="K297">
        <v>0</v>
      </c>
      <c r="L297">
        <v>353</v>
      </c>
      <c r="M297">
        <v>707</v>
      </c>
      <c r="N297">
        <v>0</v>
      </c>
      <c r="O297">
        <v>353</v>
      </c>
      <c r="P297">
        <v>353</v>
      </c>
    </row>
    <row r="298" spans="1:16" x14ac:dyDescent="0.25">
      <c r="A298" s="1">
        <v>310</v>
      </c>
      <c r="B298" s="2">
        <v>45376</v>
      </c>
      <c r="C298">
        <v>0</v>
      </c>
      <c r="D298">
        <v>95667</v>
      </c>
      <c r="E298">
        <v>95670</v>
      </c>
      <c r="F298">
        <v>94870</v>
      </c>
      <c r="G298">
        <v>95318</v>
      </c>
      <c r="H298">
        <v>802391</v>
      </c>
      <c r="I298">
        <v>1072.98</v>
      </c>
      <c r="J298">
        <v>0</v>
      </c>
      <c r="K298">
        <v>1</v>
      </c>
      <c r="L298">
        <v>364</v>
      </c>
      <c r="M298">
        <v>728</v>
      </c>
      <c r="N298">
        <v>-369</v>
      </c>
      <c r="O298">
        <v>0</v>
      </c>
      <c r="P298">
        <v>-369</v>
      </c>
    </row>
    <row r="299" spans="1:16" x14ac:dyDescent="0.25">
      <c r="A299" s="1">
        <v>311</v>
      </c>
      <c r="B299" s="2">
        <v>45377</v>
      </c>
      <c r="C299">
        <v>0</v>
      </c>
      <c r="D299">
        <v>95313</v>
      </c>
      <c r="E299">
        <v>95320</v>
      </c>
      <c r="F299">
        <v>94700</v>
      </c>
      <c r="G299">
        <v>95129</v>
      </c>
      <c r="H299">
        <v>602910</v>
      </c>
      <c r="I299">
        <v>1040.6199999999999</v>
      </c>
      <c r="J299">
        <v>0</v>
      </c>
      <c r="K299">
        <v>0</v>
      </c>
      <c r="L299">
        <v>358</v>
      </c>
      <c r="M299">
        <v>715</v>
      </c>
      <c r="N299">
        <v>0</v>
      </c>
      <c r="O299">
        <v>166</v>
      </c>
      <c r="P299">
        <v>166</v>
      </c>
    </row>
    <row r="300" spans="1:16" x14ac:dyDescent="0.25">
      <c r="A300" s="1">
        <v>312</v>
      </c>
      <c r="B300" s="2">
        <v>45378</v>
      </c>
      <c r="C300">
        <v>0</v>
      </c>
      <c r="D300">
        <v>95129</v>
      </c>
      <c r="E300">
        <v>95308</v>
      </c>
      <c r="F300">
        <v>94218</v>
      </c>
      <c r="G300">
        <v>94377</v>
      </c>
      <c r="H300">
        <v>927525</v>
      </c>
      <c r="I300">
        <v>1044.1500000000001</v>
      </c>
      <c r="J300">
        <v>0</v>
      </c>
      <c r="K300">
        <v>0</v>
      </c>
      <c r="L300">
        <v>347</v>
      </c>
      <c r="M300">
        <v>694</v>
      </c>
      <c r="N300">
        <v>0</v>
      </c>
      <c r="O300">
        <v>694</v>
      </c>
      <c r="P300">
        <v>694</v>
      </c>
    </row>
    <row r="301" spans="1:16" x14ac:dyDescent="0.25">
      <c r="A301" s="1">
        <v>313</v>
      </c>
      <c r="B301" s="2">
        <v>45379</v>
      </c>
      <c r="C301">
        <v>0</v>
      </c>
      <c r="D301">
        <v>94374</v>
      </c>
      <c r="E301">
        <v>94899</v>
      </c>
      <c r="F301">
        <v>94308</v>
      </c>
      <c r="G301">
        <v>94712</v>
      </c>
      <c r="H301">
        <v>733428</v>
      </c>
      <c r="I301">
        <v>1011.78</v>
      </c>
      <c r="J301">
        <v>1</v>
      </c>
      <c r="K301">
        <v>0</v>
      </c>
      <c r="L301">
        <v>348</v>
      </c>
      <c r="M301">
        <v>696</v>
      </c>
      <c r="N301">
        <v>0</v>
      </c>
      <c r="O301">
        <v>-381</v>
      </c>
      <c r="P301">
        <v>-381</v>
      </c>
    </row>
    <row r="302" spans="1:16" x14ac:dyDescent="0.25">
      <c r="A302" s="1">
        <v>314</v>
      </c>
      <c r="B302" s="2">
        <v>45380</v>
      </c>
      <c r="C302">
        <v>0</v>
      </c>
      <c r="D302">
        <v>94826</v>
      </c>
      <c r="E302">
        <v>94844</v>
      </c>
      <c r="F302">
        <v>94050</v>
      </c>
      <c r="G302">
        <v>94513</v>
      </c>
      <c r="H302">
        <v>1080809</v>
      </c>
      <c r="I302">
        <v>996.23</v>
      </c>
      <c r="J302">
        <v>0</v>
      </c>
      <c r="K302">
        <v>1</v>
      </c>
      <c r="L302">
        <v>337</v>
      </c>
      <c r="M302">
        <v>675</v>
      </c>
      <c r="N302">
        <v>337</v>
      </c>
      <c r="O302">
        <v>0</v>
      </c>
      <c r="P302">
        <v>337</v>
      </c>
    </row>
    <row r="303" spans="1:16" x14ac:dyDescent="0.25">
      <c r="A303" s="1">
        <v>315</v>
      </c>
      <c r="B303" s="2">
        <v>45383</v>
      </c>
      <c r="C303">
        <v>0</v>
      </c>
      <c r="D303">
        <v>94500</v>
      </c>
      <c r="E303">
        <v>94838</v>
      </c>
      <c r="F303">
        <v>94255</v>
      </c>
      <c r="G303">
        <v>94724</v>
      </c>
      <c r="H303">
        <v>623515</v>
      </c>
      <c r="I303">
        <v>966.71</v>
      </c>
      <c r="J303">
        <v>1</v>
      </c>
      <c r="K303">
        <v>0</v>
      </c>
      <c r="L303">
        <v>332</v>
      </c>
      <c r="M303">
        <v>664</v>
      </c>
      <c r="N303">
        <v>0</v>
      </c>
      <c r="O303">
        <v>-260</v>
      </c>
      <c r="P303">
        <v>-260</v>
      </c>
    </row>
    <row r="304" spans="1:16" x14ac:dyDescent="0.25">
      <c r="A304" s="1">
        <v>316</v>
      </c>
      <c r="B304" s="2">
        <v>45384</v>
      </c>
      <c r="C304">
        <v>0</v>
      </c>
      <c r="D304">
        <v>94777</v>
      </c>
      <c r="E304">
        <v>95188</v>
      </c>
      <c r="F304">
        <v>94565</v>
      </c>
      <c r="G304">
        <v>94797</v>
      </c>
      <c r="H304">
        <v>660272</v>
      </c>
      <c r="I304">
        <v>942.16</v>
      </c>
      <c r="J304">
        <v>1</v>
      </c>
      <c r="K304">
        <v>1</v>
      </c>
      <c r="L304">
        <v>322</v>
      </c>
      <c r="M304">
        <v>644</v>
      </c>
      <c r="N304">
        <v>11</v>
      </c>
      <c r="O304">
        <v>0</v>
      </c>
      <c r="P304">
        <v>11</v>
      </c>
    </row>
    <row r="305" spans="1:16" x14ac:dyDescent="0.25">
      <c r="A305" s="1">
        <v>317</v>
      </c>
      <c r="B305" s="2">
        <v>45385</v>
      </c>
      <c r="C305">
        <v>0</v>
      </c>
      <c r="D305">
        <v>94790</v>
      </c>
      <c r="E305">
        <v>94990</v>
      </c>
      <c r="F305">
        <v>94207</v>
      </c>
      <c r="G305">
        <v>94631</v>
      </c>
      <c r="H305">
        <v>695276</v>
      </c>
      <c r="I305">
        <v>930.79</v>
      </c>
      <c r="J305">
        <v>0</v>
      </c>
      <c r="K305">
        <v>1</v>
      </c>
      <c r="L305">
        <v>314</v>
      </c>
      <c r="M305">
        <v>628</v>
      </c>
      <c r="N305">
        <v>-126</v>
      </c>
      <c r="O305">
        <v>0</v>
      </c>
      <c r="P305">
        <v>-126</v>
      </c>
    </row>
    <row r="306" spans="1:16" x14ac:dyDescent="0.25">
      <c r="A306" s="1">
        <v>318</v>
      </c>
      <c r="B306" s="2">
        <v>45386</v>
      </c>
      <c r="C306">
        <v>0</v>
      </c>
      <c r="D306">
        <v>94631</v>
      </c>
      <c r="E306">
        <v>94737</v>
      </c>
      <c r="F306">
        <v>94320</v>
      </c>
      <c r="G306">
        <v>94445</v>
      </c>
      <c r="H306">
        <v>515033</v>
      </c>
      <c r="I306">
        <v>894.09</v>
      </c>
      <c r="J306">
        <v>0</v>
      </c>
      <c r="K306">
        <v>0</v>
      </c>
      <c r="L306">
        <v>310</v>
      </c>
      <c r="M306">
        <v>621</v>
      </c>
      <c r="N306">
        <v>0</v>
      </c>
      <c r="O306">
        <v>131</v>
      </c>
      <c r="P306">
        <v>131</v>
      </c>
    </row>
    <row r="307" spans="1:16" x14ac:dyDescent="0.25">
      <c r="A307" s="1">
        <v>319</v>
      </c>
      <c r="B307" s="2">
        <v>45387</v>
      </c>
      <c r="C307">
        <v>0</v>
      </c>
      <c r="D307">
        <v>94476</v>
      </c>
      <c r="E307">
        <v>94991</v>
      </c>
      <c r="F307">
        <v>94475</v>
      </c>
      <c r="G307">
        <v>94669</v>
      </c>
      <c r="H307">
        <v>596669</v>
      </c>
      <c r="I307">
        <v>869.23</v>
      </c>
      <c r="J307">
        <v>1</v>
      </c>
      <c r="K307">
        <v>0</v>
      </c>
      <c r="L307">
        <v>298</v>
      </c>
      <c r="M307">
        <v>596</v>
      </c>
      <c r="N307">
        <v>0</v>
      </c>
      <c r="O307">
        <v>-196</v>
      </c>
      <c r="P307">
        <v>-196</v>
      </c>
    </row>
    <row r="308" spans="1:16" x14ac:dyDescent="0.25">
      <c r="A308" s="1">
        <v>320</v>
      </c>
      <c r="B308" s="2">
        <v>45390</v>
      </c>
      <c r="C308">
        <v>0</v>
      </c>
      <c r="D308">
        <v>94676</v>
      </c>
      <c r="E308">
        <v>94923</v>
      </c>
      <c r="F308">
        <v>94552</v>
      </c>
      <c r="G308">
        <v>94814</v>
      </c>
      <c r="H308">
        <v>482746</v>
      </c>
      <c r="I308">
        <v>833.64</v>
      </c>
      <c r="J308">
        <v>1</v>
      </c>
      <c r="K308">
        <v>1</v>
      </c>
      <c r="L308">
        <v>290</v>
      </c>
      <c r="M308">
        <v>579</v>
      </c>
      <c r="N308">
        <v>110</v>
      </c>
      <c r="O308">
        <v>0</v>
      </c>
      <c r="P308">
        <v>110</v>
      </c>
    </row>
    <row r="309" spans="1:16" x14ac:dyDescent="0.25">
      <c r="A309" s="1">
        <v>321</v>
      </c>
      <c r="B309" s="2">
        <v>45391</v>
      </c>
      <c r="C309">
        <v>0</v>
      </c>
      <c r="D309">
        <v>94815</v>
      </c>
      <c r="E309">
        <v>95235</v>
      </c>
      <c r="F309">
        <v>94767</v>
      </c>
      <c r="G309">
        <v>95125</v>
      </c>
      <c r="H309">
        <v>466137</v>
      </c>
      <c r="I309">
        <v>807.52</v>
      </c>
      <c r="J309">
        <v>1</v>
      </c>
      <c r="K309">
        <v>1</v>
      </c>
      <c r="L309">
        <v>278</v>
      </c>
      <c r="M309">
        <v>556</v>
      </c>
      <c r="N309">
        <v>355</v>
      </c>
      <c r="O309">
        <v>0</v>
      </c>
      <c r="P309">
        <v>355</v>
      </c>
    </row>
    <row r="310" spans="1:16" x14ac:dyDescent="0.25">
      <c r="A310" s="1">
        <v>322</v>
      </c>
      <c r="B310" s="2">
        <v>45392</v>
      </c>
      <c r="C310">
        <v>0</v>
      </c>
      <c r="D310">
        <v>95142</v>
      </c>
      <c r="E310">
        <v>95858</v>
      </c>
      <c r="F310">
        <v>95077</v>
      </c>
      <c r="G310">
        <v>95680</v>
      </c>
      <c r="H310">
        <v>680215</v>
      </c>
      <c r="I310">
        <v>805.63</v>
      </c>
      <c r="J310">
        <v>1</v>
      </c>
      <c r="K310">
        <v>1</v>
      </c>
      <c r="L310">
        <v>269</v>
      </c>
      <c r="M310">
        <v>538</v>
      </c>
      <c r="N310">
        <v>538</v>
      </c>
      <c r="O310">
        <v>0</v>
      </c>
      <c r="P310">
        <v>538</v>
      </c>
    </row>
    <row r="311" spans="1:16" x14ac:dyDescent="0.25">
      <c r="A311" s="1">
        <v>323</v>
      </c>
      <c r="B311" s="2">
        <v>45393</v>
      </c>
      <c r="C311">
        <v>0</v>
      </c>
      <c r="D311">
        <v>95671</v>
      </c>
      <c r="E311">
        <v>96131</v>
      </c>
      <c r="F311">
        <v>95057</v>
      </c>
      <c r="G311">
        <v>95287</v>
      </c>
      <c r="H311">
        <v>766175</v>
      </c>
      <c r="I311">
        <v>824.8</v>
      </c>
      <c r="J311">
        <v>0</v>
      </c>
      <c r="K311">
        <v>1</v>
      </c>
      <c r="L311">
        <v>269</v>
      </c>
      <c r="M311">
        <v>537</v>
      </c>
      <c r="N311">
        <v>269</v>
      </c>
      <c r="O311">
        <v>0</v>
      </c>
      <c r="P311">
        <v>269</v>
      </c>
    </row>
    <row r="312" spans="1:16" x14ac:dyDescent="0.25">
      <c r="A312" s="1">
        <v>324</v>
      </c>
      <c r="B312" s="2">
        <v>45394</v>
      </c>
      <c r="C312">
        <v>0</v>
      </c>
      <c r="D312">
        <v>95356</v>
      </c>
      <c r="E312">
        <v>95600</v>
      </c>
      <c r="F312">
        <v>95000</v>
      </c>
      <c r="G312">
        <v>95140</v>
      </c>
      <c r="H312">
        <v>604041</v>
      </c>
      <c r="I312">
        <v>808.74</v>
      </c>
      <c r="J312">
        <v>0</v>
      </c>
      <c r="K312">
        <v>0</v>
      </c>
      <c r="L312">
        <v>275</v>
      </c>
      <c r="M312">
        <v>550</v>
      </c>
      <c r="N312">
        <v>0</v>
      </c>
      <c r="O312">
        <v>241</v>
      </c>
      <c r="P312">
        <v>241</v>
      </c>
    </row>
    <row r="313" spans="1:16" x14ac:dyDescent="0.25">
      <c r="A313" s="1">
        <v>325</v>
      </c>
      <c r="B313" s="2">
        <v>45397</v>
      </c>
      <c r="C313">
        <v>0</v>
      </c>
      <c r="D313">
        <v>95123</v>
      </c>
      <c r="E313">
        <v>95499</v>
      </c>
      <c r="F313">
        <v>95001</v>
      </c>
      <c r="G313">
        <v>95396</v>
      </c>
      <c r="H313">
        <v>423914</v>
      </c>
      <c r="I313">
        <v>786.55</v>
      </c>
      <c r="J313">
        <v>1</v>
      </c>
      <c r="K313">
        <v>0</v>
      </c>
      <c r="L313">
        <v>270</v>
      </c>
      <c r="M313">
        <v>539</v>
      </c>
      <c r="N313">
        <v>0</v>
      </c>
      <c r="O313">
        <v>-326</v>
      </c>
      <c r="P313">
        <v>-326</v>
      </c>
    </row>
    <row r="314" spans="1:16" x14ac:dyDescent="0.25">
      <c r="A314" s="1">
        <v>326</v>
      </c>
      <c r="B314" s="2">
        <v>45398</v>
      </c>
      <c r="C314">
        <v>0</v>
      </c>
      <c r="D314">
        <v>95543</v>
      </c>
      <c r="E314">
        <v>96300</v>
      </c>
      <c r="F314">
        <v>95465</v>
      </c>
      <c r="G314">
        <v>96155</v>
      </c>
      <c r="H314">
        <v>782172</v>
      </c>
      <c r="I314">
        <v>794.94</v>
      </c>
      <c r="J314">
        <v>1</v>
      </c>
      <c r="K314">
        <v>1</v>
      </c>
      <c r="L314">
        <v>262</v>
      </c>
      <c r="M314">
        <v>524</v>
      </c>
      <c r="N314">
        <v>524</v>
      </c>
      <c r="O314">
        <v>0</v>
      </c>
      <c r="P314">
        <v>524</v>
      </c>
    </row>
    <row r="315" spans="1:16" x14ac:dyDescent="0.25">
      <c r="A315" s="1">
        <v>327</v>
      </c>
      <c r="B315" s="2">
        <v>45399</v>
      </c>
      <c r="C315">
        <v>0</v>
      </c>
      <c r="D315">
        <v>96180</v>
      </c>
      <c r="E315">
        <v>96279</v>
      </c>
      <c r="F315">
        <v>95682</v>
      </c>
      <c r="G315">
        <v>95855</v>
      </c>
      <c r="H315">
        <v>573839</v>
      </c>
      <c r="I315">
        <v>780.8</v>
      </c>
      <c r="J315">
        <v>0</v>
      </c>
      <c r="K315">
        <v>1</v>
      </c>
      <c r="L315">
        <v>265</v>
      </c>
      <c r="M315">
        <v>530</v>
      </c>
      <c r="N315">
        <v>265</v>
      </c>
      <c r="O315">
        <v>0</v>
      </c>
      <c r="P315">
        <v>265</v>
      </c>
    </row>
    <row r="316" spans="1:16" x14ac:dyDescent="0.25">
      <c r="A316" s="1">
        <v>328</v>
      </c>
      <c r="B316" s="2">
        <v>45400</v>
      </c>
      <c r="C316">
        <v>0</v>
      </c>
      <c r="D316">
        <v>95864</v>
      </c>
      <c r="E316">
        <v>96050</v>
      </c>
      <c r="F316">
        <v>95059</v>
      </c>
      <c r="G316">
        <v>95144</v>
      </c>
      <c r="H316">
        <v>781680</v>
      </c>
      <c r="I316">
        <v>795.81</v>
      </c>
      <c r="J316">
        <v>0</v>
      </c>
      <c r="K316">
        <v>0</v>
      </c>
      <c r="L316">
        <v>260</v>
      </c>
      <c r="M316">
        <v>521</v>
      </c>
      <c r="N316">
        <v>0</v>
      </c>
      <c r="O316">
        <v>521</v>
      </c>
      <c r="P316">
        <v>521</v>
      </c>
    </row>
    <row r="317" spans="1:16" x14ac:dyDescent="0.25">
      <c r="A317" s="1">
        <v>329</v>
      </c>
      <c r="B317" s="2">
        <v>45401</v>
      </c>
      <c r="C317">
        <v>0</v>
      </c>
      <c r="D317">
        <v>95141</v>
      </c>
      <c r="E317">
        <v>95326</v>
      </c>
      <c r="F317">
        <v>94405</v>
      </c>
      <c r="G317">
        <v>94610</v>
      </c>
      <c r="H317">
        <v>709720</v>
      </c>
      <c r="I317">
        <v>804.75</v>
      </c>
      <c r="J317">
        <v>0</v>
      </c>
      <c r="K317">
        <v>0</v>
      </c>
      <c r="L317">
        <v>265</v>
      </c>
      <c r="M317">
        <v>531</v>
      </c>
      <c r="N317">
        <v>0</v>
      </c>
      <c r="O317">
        <v>531</v>
      </c>
      <c r="P317">
        <v>531</v>
      </c>
    </row>
    <row r="318" spans="1:16" x14ac:dyDescent="0.25">
      <c r="A318" s="1">
        <v>330</v>
      </c>
      <c r="B318" s="2">
        <v>45404</v>
      </c>
      <c r="C318">
        <v>0</v>
      </c>
      <c r="D318">
        <v>94675</v>
      </c>
      <c r="E318">
        <v>94877</v>
      </c>
      <c r="F318">
        <v>94310</v>
      </c>
      <c r="G318">
        <v>94631</v>
      </c>
      <c r="H318">
        <v>464453</v>
      </c>
      <c r="I318">
        <v>787.77</v>
      </c>
      <c r="J318">
        <v>0</v>
      </c>
      <c r="K318">
        <v>0</v>
      </c>
      <c r="L318">
        <v>268</v>
      </c>
      <c r="M318">
        <v>536</v>
      </c>
      <c r="N318">
        <v>0</v>
      </c>
      <c r="O318">
        <v>32</v>
      </c>
      <c r="P318">
        <v>32</v>
      </c>
    </row>
    <row r="319" spans="1:16" x14ac:dyDescent="0.25">
      <c r="A319" s="1">
        <v>331</v>
      </c>
      <c r="B319" s="2">
        <v>45405</v>
      </c>
      <c r="C319">
        <v>0</v>
      </c>
      <c r="D319">
        <v>94666</v>
      </c>
      <c r="E319">
        <v>94691</v>
      </c>
      <c r="F319">
        <v>94156</v>
      </c>
      <c r="G319">
        <v>94265</v>
      </c>
      <c r="H319">
        <v>475964</v>
      </c>
      <c r="I319">
        <v>769.72</v>
      </c>
      <c r="J319">
        <v>0</v>
      </c>
      <c r="K319">
        <v>0</v>
      </c>
      <c r="L319">
        <v>263</v>
      </c>
      <c r="M319">
        <v>525</v>
      </c>
      <c r="N319">
        <v>0</v>
      </c>
      <c r="O319">
        <v>380</v>
      </c>
      <c r="P319">
        <v>380</v>
      </c>
    </row>
    <row r="320" spans="1:16" x14ac:dyDescent="0.25">
      <c r="A320" s="1">
        <v>332</v>
      </c>
      <c r="B320" s="2">
        <v>45406</v>
      </c>
      <c r="C320">
        <v>0</v>
      </c>
      <c r="D320">
        <v>94263</v>
      </c>
      <c r="E320">
        <v>94266</v>
      </c>
      <c r="F320">
        <v>93665</v>
      </c>
      <c r="G320">
        <v>93726</v>
      </c>
      <c r="H320">
        <v>631913</v>
      </c>
      <c r="I320">
        <v>757.66</v>
      </c>
      <c r="J320">
        <v>0</v>
      </c>
      <c r="K320">
        <v>0</v>
      </c>
      <c r="L320">
        <v>257</v>
      </c>
      <c r="M320">
        <v>513</v>
      </c>
      <c r="N320">
        <v>0</v>
      </c>
      <c r="O320">
        <v>513</v>
      </c>
      <c r="P320">
        <v>513</v>
      </c>
    </row>
    <row r="321" spans="1:16" x14ac:dyDescent="0.25">
      <c r="A321" s="1">
        <v>333</v>
      </c>
      <c r="B321" s="2">
        <v>45407</v>
      </c>
      <c r="C321">
        <v>0</v>
      </c>
      <c r="D321">
        <v>93745</v>
      </c>
      <c r="E321">
        <v>94045</v>
      </c>
      <c r="F321">
        <v>93560</v>
      </c>
      <c r="G321">
        <v>93660</v>
      </c>
      <c r="H321">
        <v>629061</v>
      </c>
      <c r="I321">
        <v>738.19</v>
      </c>
      <c r="J321">
        <v>0</v>
      </c>
      <c r="K321">
        <v>0</v>
      </c>
      <c r="L321">
        <v>253</v>
      </c>
      <c r="M321">
        <v>505</v>
      </c>
      <c r="N321">
        <v>0</v>
      </c>
      <c r="O321">
        <v>15</v>
      </c>
      <c r="P321">
        <v>15</v>
      </c>
    </row>
    <row r="322" spans="1:16" x14ac:dyDescent="0.25">
      <c r="A322" s="1">
        <v>334</v>
      </c>
      <c r="B322" s="2">
        <v>45408</v>
      </c>
      <c r="C322">
        <v>0</v>
      </c>
      <c r="D322">
        <v>93727</v>
      </c>
      <c r="E322">
        <v>93980</v>
      </c>
      <c r="F322">
        <v>92767</v>
      </c>
      <c r="G322">
        <v>93190</v>
      </c>
      <c r="H322">
        <v>889240</v>
      </c>
      <c r="I322">
        <v>772.1</v>
      </c>
      <c r="J322">
        <v>0</v>
      </c>
      <c r="K322">
        <v>0</v>
      </c>
      <c r="L322">
        <v>246</v>
      </c>
      <c r="M322">
        <v>492</v>
      </c>
      <c r="N322">
        <v>0</v>
      </c>
      <c r="O322">
        <v>492</v>
      </c>
      <c r="P322">
        <v>492</v>
      </c>
    </row>
    <row r="323" spans="1:16" x14ac:dyDescent="0.25">
      <c r="A323" s="1">
        <v>335</v>
      </c>
      <c r="B323" s="2">
        <v>45409</v>
      </c>
      <c r="C323">
        <v>0</v>
      </c>
      <c r="D323">
        <v>93180</v>
      </c>
      <c r="E323">
        <v>93987</v>
      </c>
      <c r="F323">
        <v>93076</v>
      </c>
      <c r="G323">
        <v>93876</v>
      </c>
      <c r="H323">
        <v>370255</v>
      </c>
      <c r="I323">
        <v>782.03</v>
      </c>
      <c r="J323">
        <v>1</v>
      </c>
      <c r="K323">
        <v>0</v>
      </c>
      <c r="L323">
        <v>257</v>
      </c>
      <c r="M323">
        <v>515</v>
      </c>
      <c r="N323">
        <v>0</v>
      </c>
      <c r="O323">
        <v>257</v>
      </c>
      <c r="P323">
        <v>257</v>
      </c>
    </row>
    <row r="324" spans="1:16" x14ac:dyDescent="0.25">
      <c r="A324" s="1">
        <v>336</v>
      </c>
      <c r="B324" s="2">
        <v>45411</v>
      </c>
      <c r="C324">
        <v>0</v>
      </c>
      <c r="D324">
        <v>93960</v>
      </c>
      <c r="E324">
        <v>94720</v>
      </c>
      <c r="F324">
        <v>93869</v>
      </c>
      <c r="G324">
        <v>94130</v>
      </c>
      <c r="H324">
        <v>392531</v>
      </c>
      <c r="I324">
        <v>786.95</v>
      </c>
      <c r="J324">
        <v>1</v>
      </c>
      <c r="K324">
        <v>1</v>
      </c>
      <c r="L324">
        <v>261</v>
      </c>
      <c r="M324">
        <v>521</v>
      </c>
      <c r="N324">
        <v>314</v>
      </c>
      <c r="O324">
        <v>0</v>
      </c>
      <c r="P324">
        <v>314</v>
      </c>
    </row>
    <row r="325" spans="1:16" x14ac:dyDescent="0.25">
      <c r="A325" s="1">
        <v>337</v>
      </c>
      <c r="B325" s="2">
        <v>45412</v>
      </c>
      <c r="C325">
        <v>0</v>
      </c>
      <c r="D325">
        <v>94303</v>
      </c>
      <c r="E325">
        <v>94648</v>
      </c>
      <c r="F325">
        <v>94011</v>
      </c>
      <c r="G325">
        <v>94198</v>
      </c>
      <c r="H325">
        <v>333029</v>
      </c>
      <c r="I325">
        <v>776.24</v>
      </c>
      <c r="J325">
        <v>0</v>
      </c>
      <c r="K325">
        <v>1</v>
      </c>
      <c r="L325">
        <v>262</v>
      </c>
      <c r="M325">
        <v>525</v>
      </c>
      <c r="N325">
        <v>-118</v>
      </c>
      <c r="O325">
        <v>0</v>
      </c>
      <c r="P325">
        <v>-118</v>
      </c>
    </row>
    <row r="326" spans="1:16" x14ac:dyDescent="0.25">
      <c r="A326" s="1">
        <v>338</v>
      </c>
      <c r="B326" s="2">
        <v>45414</v>
      </c>
      <c r="C326">
        <v>0</v>
      </c>
      <c r="D326">
        <v>94167</v>
      </c>
      <c r="E326">
        <v>94167</v>
      </c>
      <c r="F326">
        <v>93121</v>
      </c>
      <c r="G326">
        <v>93450</v>
      </c>
      <c r="H326">
        <v>752635</v>
      </c>
      <c r="I326">
        <v>797.72</v>
      </c>
      <c r="J326">
        <v>0</v>
      </c>
      <c r="K326">
        <v>0</v>
      </c>
      <c r="L326">
        <v>259</v>
      </c>
      <c r="M326">
        <v>517</v>
      </c>
      <c r="N326">
        <v>0</v>
      </c>
      <c r="O326">
        <v>517</v>
      </c>
      <c r="P326">
        <v>517</v>
      </c>
    </row>
    <row r="327" spans="1:16" x14ac:dyDescent="0.25">
      <c r="A327" s="1">
        <v>339</v>
      </c>
      <c r="B327" s="2">
        <v>45415</v>
      </c>
      <c r="C327">
        <v>0</v>
      </c>
      <c r="D327">
        <v>93451</v>
      </c>
      <c r="E327">
        <v>93480</v>
      </c>
      <c r="F327">
        <v>93047</v>
      </c>
      <c r="G327">
        <v>93193</v>
      </c>
      <c r="H327">
        <v>617359</v>
      </c>
      <c r="I327">
        <v>771.67</v>
      </c>
      <c r="J327">
        <v>0</v>
      </c>
      <c r="K327">
        <v>0</v>
      </c>
      <c r="L327">
        <v>266</v>
      </c>
      <c r="M327">
        <v>532</v>
      </c>
      <c r="N327">
        <v>0</v>
      </c>
      <c r="O327">
        <v>273</v>
      </c>
      <c r="P327">
        <v>273</v>
      </c>
    </row>
    <row r="328" spans="1:16" x14ac:dyDescent="0.25">
      <c r="A328" s="1">
        <v>340</v>
      </c>
      <c r="B328" s="2">
        <v>45418</v>
      </c>
      <c r="C328">
        <v>0</v>
      </c>
      <c r="D328">
        <v>93263</v>
      </c>
      <c r="E328">
        <v>93465</v>
      </c>
      <c r="F328">
        <v>92345</v>
      </c>
      <c r="G328">
        <v>92846</v>
      </c>
      <c r="H328">
        <v>677472</v>
      </c>
      <c r="I328">
        <v>796.55</v>
      </c>
      <c r="J328">
        <v>0</v>
      </c>
      <c r="K328">
        <v>0</v>
      </c>
      <c r="L328">
        <v>257</v>
      </c>
      <c r="M328">
        <v>514</v>
      </c>
      <c r="N328">
        <v>0</v>
      </c>
      <c r="O328">
        <v>436</v>
      </c>
      <c r="P328">
        <v>436</v>
      </c>
    </row>
    <row r="329" spans="1:16" x14ac:dyDescent="0.25">
      <c r="A329" s="1">
        <v>341</v>
      </c>
      <c r="B329" s="2">
        <v>45419</v>
      </c>
      <c r="C329">
        <v>0</v>
      </c>
      <c r="D329">
        <v>92848</v>
      </c>
      <c r="E329">
        <v>92990</v>
      </c>
      <c r="F329">
        <v>92400</v>
      </c>
      <c r="G329">
        <v>92799</v>
      </c>
      <c r="H329">
        <v>532861</v>
      </c>
      <c r="I329">
        <v>781.8</v>
      </c>
      <c r="J329">
        <v>0</v>
      </c>
      <c r="K329">
        <v>0</v>
      </c>
      <c r="L329">
        <v>266</v>
      </c>
      <c r="M329">
        <v>531</v>
      </c>
      <c r="N329">
        <v>0</v>
      </c>
      <c r="O329">
        <v>79</v>
      </c>
      <c r="P329">
        <v>79</v>
      </c>
    </row>
    <row r="330" spans="1:16" x14ac:dyDescent="0.25">
      <c r="A330" s="1">
        <v>342</v>
      </c>
      <c r="B330" s="2">
        <v>45420</v>
      </c>
      <c r="C330">
        <v>0</v>
      </c>
      <c r="D330">
        <v>92902</v>
      </c>
      <c r="E330">
        <v>93475</v>
      </c>
      <c r="F330">
        <v>92685</v>
      </c>
      <c r="G330">
        <v>93199</v>
      </c>
      <c r="H330">
        <v>778232</v>
      </c>
      <c r="I330">
        <v>782.38</v>
      </c>
      <c r="J330">
        <v>1</v>
      </c>
      <c r="K330">
        <v>0</v>
      </c>
      <c r="L330">
        <v>261</v>
      </c>
      <c r="M330">
        <v>521</v>
      </c>
      <c r="N330">
        <v>0</v>
      </c>
      <c r="O330">
        <v>-271</v>
      </c>
      <c r="P330">
        <v>-271</v>
      </c>
    </row>
    <row r="331" spans="1:16" x14ac:dyDescent="0.25">
      <c r="A331" s="1">
        <v>343</v>
      </c>
      <c r="B331" s="2">
        <v>45422</v>
      </c>
      <c r="C331">
        <v>0</v>
      </c>
      <c r="D331">
        <v>93227</v>
      </c>
      <c r="E331">
        <v>93719</v>
      </c>
      <c r="F331">
        <v>93000</v>
      </c>
      <c r="G331">
        <v>93350</v>
      </c>
      <c r="H331">
        <v>328460</v>
      </c>
      <c r="I331">
        <v>777.86</v>
      </c>
      <c r="J331">
        <v>1</v>
      </c>
      <c r="K331">
        <v>1</v>
      </c>
      <c r="L331">
        <v>261</v>
      </c>
      <c r="M331">
        <v>522</v>
      </c>
      <c r="N331">
        <v>168</v>
      </c>
      <c r="O331">
        <v>0</v>
      </c>
      <c r="P331">
        <v>168</v>
      </c>
    </row>
    <row r="332" spans="1:16" x14ac:dyDescent="0.25">
      <c r="A332" s="1">
        <v>344</v>
      </c>
      <c r="B332" s="2">
        <v>45425</v>
      </c>
      <c r="C332">
        <v>0</v>
      </c>
      <c r="D332">
        <v>93373</v>
      </c>
      <c r="E332">
        <v>93504</v>
      </c>
      <c r="F332">
        <v>92438</v>
      </c>
      <c r="G332">
        <v>92501</v>
      </c>
      <c r="H332">
        <v>676614</v>
      </c>
      <c r="I332">
        <v>798.44</v>
      </c>
      <c r="J332">
        <v>0</v>
      </c>
      <c r="K332">
        <v>1</v>
      </c>
      <c r="L332">
        <v>259</v>
      </c>
      <c r="M332">
        <v>519</v>
      </c>
      <c r="N332">
        <v>259</v>
      </c>
      <c r="O332">
        <v>0</v>
      </c>
      <c r="P332">
        <v>259</v>
      </c>
    </row>
    <row r="333" spans="1:16" x14ac:dyDescent="0.25">
      <c r="A333" s="1">
        <v>345</v>
      </c>
      <c r="B333" s="2">
        <v>45426</v>
      </c>
      <c r="C333">
        <v>0</v>
      </c>
      <c r="D333">
        <v>92526</v>
      </c>
      <c r="E333">
        <v>92870</v>
      </c>
      <c r="F333">
        <v>92325</v>
      </c>
      <c r="G333">
        <v>92573</v>
      </c>
      <c r="H333">
        <v>523926</v>
      </c>
      <c r="I333">
        <v>780.34</v>
      </c>
      <c r="J333">
        <v>1</v>
      </c>
      <c r="K333">
        <v>0</v>
      </c>
      <c r="L333">
        <v>266</v>
      </c>
      <c r="M333">
        <v>532</v>
      </c>
      <c r="N333">
        <v>0</v>
      </c>
      <c r="O333">
        <v>-25</v>
      </c>
      <c r="P333">
        <v>-25</v>
      </c>
    </row>
    <row r="334" spans="1:16" x14ac:dyDescent="0.25">
      <c r="A334" s="1">
        <v>346</v>
      </c>
      <c r="B334" s="2">
        <v>45427</v>
      </c>
      <c r="C334">
        <v>0</v>
      </c>
      <c r="D334">
        <v>92550</v>
      </c>
      <c r="E334">
        <v>92600</v>
      </c>
      <c r="F334">
        <v>91886</v>
      </c>
      <c r="G334">
        <v>92020</v>
      </c>
      <c r="H334">
        <v>660256</v>
      </c>
      <c r="I334">
        <v>775.6</v>
      </c>
      <c r="J334">
        <v>0</v>
      </c>
      <c r="K334">
        <v>1</v>
      </c>
      <c r="L334">
        <v>260</v>
      </c>
      <c r="M334">
        <v>520</v>
      </c>
      <c r="N334">
        <v>260</v>
      </c>
      <c r="O334">
        <v>0</v>
      </c>
      <c r="P334">
        <v>260</v>
      </c>
    </row>
    <row r="335" spans="1:16" x14ac:dyDescent="0.25">
      <c r="A335" s="1">
        <v>347</v>
      </c>
      <c r="B335" s="2">
        <v>45428</v>
      </c>
      <c r="C335">
        <v>0</v>
      </c>
      <c r="D335">
        <v>92040</v>
      </c>
      <c r="E335">
        <v>92202</v>
      </c>
      <c r="F335">
        <v>91702</v>
      </c>
      <c r="G335">
        <v>91875</v>
      </c>
      <c r="H335">
        <v>499581</v>
      </c>
      <c r="I335">
        <v>755.91</v>
      </c>
      <c r="J335">
        <v>0</v>
      </c>
      <c r="K335">
        <v>0</v>
      </c>
      <c r="L335">
        <v>259</v>
      </c>
      <c r="M335">
        <v>517</v>
      </c>
      <c r="N335">
        <v>0</v>
      </c>
      <c r="O335">
        <v>114</v>
      </c>
      <c r="P335">
        <v>114</v>
      </c>
    </row>
    <row r="336" spans="1:16" x14ac:dyDescent="0.25">
      <c r="A336" s="1">
        <v>348</v>
      </c>
      <c r="B336" s="2">
        <v>45429</v>
      </c>
      <c r="C336">
        <v>0</v>
      </c>
      <c r="D336">
        <v>91931</v>
      </c>
      <c r="E336">
        <v>92078</v>
      </c>
      <c r="F336">
        <v>91668</v>
      </c>
      <c r="G336">
        <v>91728</v>
      </c>
      <c r="H336">
        <v>488475</v>
      </c>
      <c r="I336">
        <v>731.2</v>
      </c>
      <c r="J336">
        <v>0</v>
      </c>
      <c r="K336">
        <v>0</v>
      </c>
      <c r="L336">
        <v>252</v>
      </c>
      <c r="M336">
        <v>504</v>
      </c>
      <c r="N336">
        <v>0</v>
      </c>
      <c r="O336">
        <v>229</v>
      </c>
      <c r="P336">
        <v>229</v>
      </c>
    </row>
    <row r="337" spans="1:16" x14ac:dyDescent="0.25">
      <c r="A337" s="1">
        <v>349</v>
      </c>
      <c r="B337" s="2">
        <v>45432</v>
      </c>
      <c r="C337">
        <v>0</v>
      </c>
      <c r="D337">
        <v>91770</v>
      </c>
      <c r="E337">
        <v>91920</v>
      </c>
      <c r="F337">
        <v>91122</v>
      </c>
      <c r="G337">
        <v>91615</v>
      </c>
      <c r="H337">
        <v>589960</v>
      </c>
      <c r="I337">
        <v>735.98</v>
      </c>
      <c r="J337">
        <v>0</v>
      </c>
      <c r="K337">
        <v>0</v>
      </c>
      <c r="L337">
        <v>244</v>
      </c>
      <c r="M337">
        <v>487</v>
      </c>
      <c r="N337">
        <v>0</v>
      </c>
      <c r="O337">
        <v>112</v>
      </c>
      <c r="P337">
        <v>112</v>
      </c>
    </row>
    <row r="338" spans="1:16" x14ac:dyDescent="0.25">
      <c r="A338" s="1">
        <v>350</v>
      </c>
      <c r="B338" s="2">
        <v>45433</v>
      </c>
      <c r="C338">
        <v>0</v>
      </c>
      <c r="D338">
        <v>91593</v>
      </c>
      <c r="E338">
        <v>91593</v>
      </c>
      <c r="F338">
        <v>90714</v>
      </c>
      <c r="G338">
        <v>90867</v>
      </c>
      <c r="H338">
        <v>552418</v>
      </c>
      <c r="I338">
        <v>747.76</v>
      </c>
      <c r="J338">
        <v>0</v>
      </c>
      <c r="K338">
        <v>0</v>
      </c>
      <c r="L338">
        <v>245</v>
      </c>
      <c r="M338">
        <v>491</v>
      </c>
      <c r="N338">
        <v>0</v>
      </c>
      <c r="O338">
        <v>491</v>
      </c>
      <c r="P338">
        <v>491</v>
      </c>
    </row>
    <row r="339" spans="1:16" x14ac:dyDescent="0.25">
      <c r="A339" s="1">
        <v>351</v>
      </c>
      <c r="B339" s="2">
        <v>45434</v>
      </c>
      <c r="C339">
        <v>0</v>
      </c>
      <c r="D339">
        <v>90829</v>
      </c>
      <c r="E339">
        <v>91209</v>
      </c>
      <c r="F339">
        <v>90487</v>
      </c>
      <c r="G339">
        <v>91137</v>
      </c>
      <c r="H339">
        <v>537277</v>
      </c>
      <c r="I339">
        <v>745.92</v>
      </c>
      <c r="J339">
        <v>1</v>
      </c>
      <c r="K339">
        <v>0</v>
      </c>
      <c r="L339">
        <v>249</v>
      </c>
      <c r="M339">
        <v>499</v>
      </c>
      <c r="N339">
        <v>0</v>
      </c>
      <c r="O339">
        <v>-286</v>
      </c>
      <c r="P339">
        <v>-286</v>
      </c>
    </row>
    <row r="340" spans="1:16" x14ac:dyDescent="0.25">
      <c r="A340" s="1">
        <v>352</v>
      </c>
      <c r="B340" s="2">
        <v>45435</v>
      </c>
      <c r="C340">
        <v>0</v>
      </c>
      <c r="D340">
        <v>91146</v>
      </c>
      <c r="E340">
        <v>91234</v>
      </c>
      <c r="F340">
        <v>90601</v>
      </c>
      <c r="G340">
        <v>90649</v>
      </c>
      <c r="H340">
        <v>439171</v>
      </c>
      <c r="I340">
        <v>737.86</v>
      </c>
      <c r="J340">
        <v>0</v>
      </c>
      <c r="K340">
        <v>1</v>
      </c>
      <c r="L340">
        <v>249</v>
      </c>
      <c r="M340">
        <v>497</v>
      </c>
      <c r="N340">
        <v>249</v>
      </c>
      <c r="O340">
        <v>0</v>
      </c>
      <c r="P340">
        <v>249</v>
      </c>
    </row>
    <row r="341" spans="1:16" x14ac:dyDescent="0.25">
      <c r="A341" s="1">
        <v>353</v>
      </c>
      <c r="B341" s="2">
        <v>45436</v>
      </c>
      <c r="C341">
        <v>0</v>
      </c>
      <c r="D341">
        <v>90682</v>
      </c>
      <c r="E341">
        <v>90684</v>
      </c>
      <c r="F341">
        <v>90040</v>
      </c>
      <c r="G341">
        <v>90334</v>
      </c>
      <c r="H341">
        <v>554450</v>
      </c>
      <c r="I341">
        <v>731.15</v>
      </c>
      <c r="J341">
        <v>0</v>
      </c>
      <c r="K341">
        <v>0</v>
      </c>
      <c r="L341">
        <v>246</v>
      </c>
      <c r="M341">
        <v>492</v>
      </c>
      <c r="N341">
        <v>0</v>
      </c>
      <c r="O341">
        <v>417</v>
      </c>
      <c r="P341">
        <v>417</v>
      </c>
    </row>
    <row r="342" spans="1:16" x14ac:dyDescent="0.25">
      <c r="A342" s="1">
        <v>354</v>
      </c>
      <c r="B342" s="2">
        <v>45439</v>
      </c>
      <c r="C342">
        <v>0</v>
      </c>
      <c r="D342">
        <v>90275</v>
      </c>
      <c r="E342">
        <v>90334</v>
      </c>
      <c r="F342">
        <v>89064</v>
      </c>
      <c r="G342">
        <v>89172</v>
      </c>
      <c r="H342">
        <v>632541</v>
      </c>
      <c r="I342">
        <v>769.64</v>
      </c>
      <c r="J342">
        <v>0</v>
      </c>
      <c r="K342">
        <v>0</v>
      </c>
      <c r="L342">
        <v>244</v>
      </c>
      <c r="M342">
        <v>487</v>
      </c>
      <c r="N342">
        <v>0</v>
      </c>
      <c r="O342">
        <v>487</v>
      </c>
      <c r="P342">
        <v>487</v>
      </c>
    </row>
    <row r="343" spans="1:16" x14ac:dyDescent="0.25">
      <c r="A343" s="1">
        <v>355</v>
      </c>
      <c r="B343" s="2">
        <v>45440</v>
      </c>
      <c r="C343">
        <v>0</v>
      </c>
      <c r="D343">
        <v>89223</v>
      </c>
      <c r="E343">
        <v>89713</v>
      </c>
      <c r="F343">
        <v>89010</v>
      </c>
      <c r="G343">
        <v>89521</v>
      </c>
      <c r="H343">
        <v>616497</v>
      </c>
      <c r="I343">
        <v>764.88</v>
      </c>
      <c r="J343">
        <v>1</v>
      </c>
      <c r="K343">
        <v>0</v>
      </c>
      <c r="L343">
        <v>257</v>
      </c>
      <c r="M343">
        <v>513</v>
      </c>
      <c r="N343">
        <v>0</v>
      </c>
      <c r="O343">
        <v>-215</v>
      </c>
      <c r="P343">
        <v>-215</v>
      </c>
    </row>
    <row r="344" spans="1:16" x14ac:dyDescent="0.25">
      <c r="A344" s="1">
        <v>356</v>
      </c>
      <c r="B344" s="2">
        <v>45441</v>
      </c>
      <c r="C344">
        <v>0</v>
      </c>
      <c r="D344">
        <v>89560</v>
      </c>
      <c r="E344">
        <v>90792</v>
      </c>
      <c r="F344">
        <v>89539</v>
      </c>
      <c r="G344">
        <v>90450</v>
      </c>
      <c r="H344">
        <v>826777</v>
      </c>
      <c r="I344">
        <v>801.03</v>
      </c>
      <c r="J344">
        <v>1</v>
      </c>
      <c r="K344">
        <v>1</v>
      </c>
      <c r="L344">
        <v>255</v>
      </c>
      <c r="M344">
        <v>510</v>
      </c>
      <c r="N344">
        <v>510</v>
      </c>
      <c r="O344">
        <v>0</v>
      </c>
      <c r="P344">
        <v>510</v>
      </c>
    </row>
    <row r="345" spans="1:16" x14ac:dyDescent="0.25">
      <c r="A345" s="1">
        <v>357</v>
      </c>
      <c r="B345" s="2">
        <v>45442</v>
      </c>
      <c r="C345">
        <v>0</v>
      </c>
      <c r="D345">
        <v>90600</v>
      </c>
      <c r="E345">
        <v>90845</v>
      </c>
      <c r="F345">
        <v>90341</v>
      </c>
      <c r="G345">
        <v>90705</v>
      </c>
      <c r="H345">
        <v>638716</v>
      </c>
      <c r="I345">
        <v>779.82</v>
      </c>
      <c r="J345">
        <v>1</v>
      </c>
      <c r="K345">
        <v>1</v>
      </c>
      <c r="L345">
        <v>267</v>
      </c>
      <c r="M345">
        <v>534</v>
      </c>
      <c r="N345">
        <v>164</v>
      </c>
      <c r="O345">
        <v>0</v>
      </c>
      <c r="P345">
        <v>164</v>
      </c>
    </row>
    <row r="346" spans="1:16" x14ac:dyDescent="0.25">
      <c r="A346" s="1">
        <v>358</v>
      </c>
      <c r="B346" s="2">
        <v>45443</v>
      </c>
      <c r="C346">
        <v>0</v>
      </c>
      <c r="D346">
        <v>90906</v>
      </c>
      <c r="E346">
        <v>91062</v>
      </c>
      <c r="F346">
        <v>90202</v>
      </c>
      <c r="G346">
        <v>90220</v>
      </c>
      <c r="H346">
        <v>579926</v>
      </c>
      <c r="I346">
        <v>785.54</v>
      </c>
      <c r="J346">
        <v>0</v>
      </c>
      <c r="K346">
        <v>1</v>
      </c>
      <c r="L346">
        <v>260</v>
      </c>
      <c r="M346">
        <v>520</v>
      </c>
      <c r="N346">
        <v>260</v>
      </c>
      <c r="O346">
        <v>0</v>
      </c>
      <c r="P346">
        <v>260</v>
      </c>
    </row>
    <row r="347" spans="1:16" x14ac:dyDescent="0.25">
      <c r="A347" s="1">
        <v>359</v>
      </c>
      <c r="B347" s="2">
        <v>45446</v>
      </c>
      <c r="C347">
        <v>0</v>
      </c>
      <c r="D347">
        <v>90404</v>
      </c>
      <c r="E347">
        <v>90680</v>
      </c>
      <c r="F347">
        <v>89280</v>
      </c>
      <c r="G347">
        <v>89607</v>
      </c>
      <c r="H347">
        <v>823677</v>
      </c>
      <c r="I347">
        <v>829.43</v>
      </c>
      <c r="J347">
        <v>0</v>
      </c>
      <c r="K347">
        <v>0</v>
      </c>
      <c r="L347">
        <v>262</v>
      </c>
      <c r="M347">
        <v>524</v>
      </c>
      <c r="N347">
        <v>0</v>
      </c>
      <c r="O347">
        <v>524</v>
      </c>
      <c r="P347">
        <v>524</v>
      </c>
    </row>
    <row r="348" spans="1:16" x14ac:dyDescent="0.25">
      <c r="A348" s="1">
        <v>360</v>
      </c>
      <c r="B348" s="2">
        <v>45447</v>
      </c>
      <c r="C348">
        <v>0</v>
      </c>
      <c r="D348">
        <v>89727</v>
      </c>
      <c r="E348">
        <v>89848</v>
      </c>
      <c r="F348">
        <v>88940</v>
      </c>
      <c r="G348">
        <v>89288</v>
      </c>
      <c r="H348">
        <v>653250</v>
      </c>
      <c r="I348">
        <v>835.05</v>
      </c>
      <c r="J348">
        <v>0</v>
      </c>
      <c r="K348">
        <v>0</v>
      </c>
      <c r="L348">
        <v>276</v>
      </c>
      <c r="M348">
        <v>553</v>
      </c>
      <c r="N348">
        <v>0</v>
      </c>
      <c r="O348">
        <v>509</v>
      </c>
      <c r="P348">
        <v>509</v>
      </c>
    </row>
    <row r="349" spans="1:16" x14ac:dyDescent="0.25">
      <c r="A349" s="1">
        <v>361</v>
      </c>
      <c r="B349" s="2">
        <v>45448</v>
      </c>
      <c r="C349">
        <v>0</v>
      </c>
      <c r="D349">
        <v>89292</v>
      </c>
      <c r="E349">
        <v>89512</v>
      </c>
      <c r="F349">
        <v>88868</v>
      </c>
      <c r="G349">
        <v>89096</v>
      </c>
      <c r="H349">
        <v>574574</v>
      </c>
      <c r="I349">
        <v>821.4</v>
      </c>
      <c r="J349">
        <v>0</v>
      </c>
      <c r="K349">
        <v>0</v>
      </c>
      <c r="L349">
        <v>278</v>
      </c>
      <c r="M349">
        <v>557</v>
      </c>
      <c r="N349">
        <v>0</v>
      </c>
      <c r="O349">
        <v>177</v>
      </c>
      <c r="P349">
        <v>177</v>
      </c>
    </row>
    <row r="350" spans="1:16" x14ac:dyDescent="0.25">
      <c r="A350" s="1">
        <v>362</v>
      </c>
      <c r="B350" s="2">
        <v>45449</v>
      </c>
      <c r="C350">
        <v>0</v>
      </c>
      <c r="D350">
        <v>89119</v>
      </c>
      <c r="E350">
        <v>89593</v>
      </c>
      <c r="F350">
        <v>88811</v>
      </c>
      <c r="G350">
        <v>89001</v>
      </c>
      <c r="H350">
        <v>777985</v>
      </c>
      <c r="I350">
        <v>818.59</v>
      </c>
      <c r="J350">
        <v>0</v>
      </c>
      <c r="K350">
        <v>0</v>
      </c>
      <c r="L350">
        <v>274</v>
      </c>
      <c r="M350">
        <v>548</v>
      </c>
      <c r="N350">
        <v>0</v>
      </c>
      <c r="O350">
        <v>256</v>
      </c>
      <c r="P350">
        <v>256</v>
      </c>
    </row>
    <row r="351" spans="1:16" x14ac:dyDescent="0.25">
      <c r="A351" s="1">
        <v>363</v>
      </c>
      <c r="B351" s="2">
        <v>45450</v>
      </c>
      <c r="C351">
        <v>0</v>
      </c>
      <c r="D351">
        <v>89078</v>
      </c>
      <c r="E351">
        <v>89948</v>
      </c>
      <c r="F351">
        <v>88784</v>
      </c>
      <c r="G351">
        <v>89405</v>
      </c>
      <c r="H351">
        <v>918985</v>
      </c>
      <c r="I351">
        <v>843.26</v>
      </c>
      <c r="J351">
        <v>1</v>
      </c>
      <c r="K351">
        <v>0</v>
      </c>
      <c r="L351">
        <v>273</v>
      </c>
      <c r="M351">
        <v>546</v>
      </c>
      <c r="N351">
        <v>0</v>
      </c>
      <c r="O351">
        <v>-343</v>
      </c>
      <c r="P351">
        <v>-343</v>
      </c>
    </row>
    <row r="352" spans="1:16" x14ac:dyDescent="0.25">
      <c r="A352" s="1">
        <v>364</v>
      </c>
      <c r="B352" s="2">
        <v>45453</v>
      </c>
      <c r="C352">
        <v>0</v>
      </c>
      <c r="D352">
        <v>89590</v>
      </c>
      <c r="E352">
        <v>89719</v>
      </c>
      <c r="F352">
        <v>88546</v>
      </c>
      <c r="G352">
        <v>88800</v>
      </c>
      <c r="H352">
        <v>581774</v>
      </c>
      <c r="I352">
        <v>866.81</v>
      </c>
      <c r="J352">
        <v>0</v>
      </c>
      <c r="K352">
        <v>1</v>
      </c>
      <c r="L352">
        <v>281</v>
      </c>
      <c r="M352">
        <v>562</v>
      </c>
      <c r="N352">
        <v>281</v>
      </c>
      <c r="O352">
        <v>0</v>
      </c>
      <c r="P352">
        <v>281</v>
      </c>
    </row>
    <row r="353" spans="1:16" x14ac:dyDescent="0.25">
      <c r="A353" s="1">
        <v>365</v>
      </c>
      <c r="B353" s="2">
        <v>45454</v>
      </c>
      <c r="C353">
        <v>0</v>
      </c>
      <c r="D353">
        <v>88833</v>
      </c>
      <c r="E353">
        <v>89553</v>
      </c>
      <c r="F353">
        <v>88738</v>
      </c>
      <c r="G353">
        <v>89371</v>
      </c>
      <c r="H353">
        <v>635337</v>
      </c>
      <c r="I353">
        <v>863.11</v>
      </c>
      <c r="J353">
        <v>1</v>
      </c>
      <c r="K353">
        <v>0</v>
      </c>
      <c r="L353">
        <v>289</v>
      </c>
      <c r="M353">
        <v>578</v>
      </c>
      <c r="N353">
        <v>0</v>
      </c>
      <c r="O353">
        <v>289</v>
      </c>
      <c r="P353">
        <v>289</v>
      </c>
    </row>
    <row r="354" spans="1:16" x14ac:dyDescent="0.25">
      <c r="A354" s="1">
        <v>366</v>
      </c>
      <c r="B354" s="2">
        <v>45456</v>
      </c>
      <c r="C354">
        <v>0</v>
      </c>
      <c r="D354">
        <v>88999</v>
      </c>
      <c r="E354">
        <v>89250</v>
      </c>
      <c r="F354">
        <v>85888</v>
      </c>
      <c r="G354">
        <v>88848</v>
      </c>
      <c r="H354">
        <v>1398426</v>
      </c>
      <c r="I354">
        <v>1050.24</v>
      </c>
      <c r="J354">
        <v>0</v>
      </c>
      <c r="K354">
        <v>1</v>
      </c>
      <c r="L354">
        <v>288</v>
      </c>
      <c r="M354">
        <v>575</v>
      </c>
      <c r="N354">
        <v>-141</v>
      </c>
      <c r="O354">
        <v>0</v>
      </c>
      <c r="P354">
        <v>-141</v>
      </c>
    </row>
    <row r="355" spans="1:16" x14ac:dyDescent="0.25">
      <c r="A355" s="1">
        <v>367</v>
      </c>
      <c r="B355" s="2">
        <v>45457</v>
      </c>
      <c r="C355">
        <v>0</v>
      </c>
      <c r="D355">
        <v>88848</v>
      </c>
      <c r="E355">
        <v>89433</v>
      </c>
      <c r="F355">
        <v>88639</v>
      </c>
      <c r="G355">
        <v>89140</v>
      </c>
      <c r="H355">
        <v>637033</v>
      </c>
      <c r="I355">
        <v>1031.94</v>
      </c>
      <c r="J355">
        <v>1</v>
      </c>
      <c r="K355">
        <v>0</v>
      </c>
      <c r="L355">
        <v>350</v>
      </c>
      <c r="M355">
        <v>700</v>
      </c>
      <c r="N355">
        <v>0</v>
      </c>
      <c r="O355">
        <v>-261</v>
      </c>
      <c r="P355">
        <v>-261</v>
      </c>
    </row>
    <row r="356" spans="1:16" x14ac:dyDescent="0.25">
      <c r="A356" s="1">
        <v>368</v>
      </c>
      <c r="B356" s="2">
        <v>45460</v>
      </c>
      <c r="C356">
        <v>0</v>
      </c>
      <c r="D356">
        <v>89156</v>
      </c>
      <c r="E356">
        <v>89324</v>
      </c>
      <c r="F356">
        <v>87165</v>
      </c>
      <c r="G356">
        <v>87410</v>
      </c>
      <c r="H356">
        <v>714981</v>
      </c>
      <c r="I356">
        <v>1112.45</v>
      </c>
      <c r="J356">
        <v>0</v>
      </c>
      <c r="K356">
        <v>1</v>
      </c>
      <c r="L356">
        <v>344</v>
      </c>
      <c r="M356">
        <v>688</v>
      </c>
      <c r="N356">
        <v>344</v>
      </c>
      <c r="O356">
        <v>0</v>
      </c>
      <c r="P356">
        <v>344</v>
      </c>
    </row>
    <row r="357" spans="1:16" x14ac:dyDescent="0.25">
      <c r="A357" s="1">
        <v>369</v>
      </c>
      <c r="B357" s="2">
        <v>45461</v>
      </c>
      <c r="C357">
        <v>0</v>
      </c>
      <c r="D357">
        <v>87407</v>
      </c>
      <c r="E357">
        <v>87750</v>
      </c>
      <c r="F357">
        <v>85011</v>
      </c>
      <c r="G357">
        <v>85251</v>
      </c>
      <c r="H357">
        <v>925707</v>
      </c>
      <c r="I357">
        <v>1228.6300000000001</v>
      </c>
      <c r="J357">
        <v>0</v>
      </c>
      <c r="K357">
        <v>0</v>
      </c>
      <c r="L357">
        <v>371</v>
      </c>
      <c r="M357">
        <v>742</v>
      </c>
      <c r="N357">
        <v>0</v>
      </c>
      <c r="O357">
        <v>742</v>
      </c>
      <c r="P357">
        <v>742</v>
      </c>
    </row>
    <row r="358" spans="1:16" x14ac:dyDescent="0.25">
      <c r="A358" s="1">
        <v>370</v>
      </c>
      <c r="B358" s="2">
        <v>45462</v>
      </c>
      <c r="C358">
        <v>0</v>
      </c>
      <c r="D358">
        <v>85530</v>
      </c>
      <c r="E358">
        <v>85600</v>
      </c>
      <c r="F358">
        <v>81910</v>
      </c>
      <c r="G358">
        <v>82116</v>
      </c>
      <c r="H358">
        <v>877621</v>
      </c>
      <c r="I358">
        <v>1404.44</v>
      </c>
      <c r="J358">
        <v>0</v>
      </c>
      <c r="K358">
        <v>0</v>
      </c>
      <c r="L358">
        <v>410</v>
      </c>
      <c r="M358">
        <v>819</v>
      </c>
      <c r="N358">
        <v>0</v>
      </c>
      <c r="O358">
        <v>819</v>
      </c>
      <c r="P358">
        <v>819</v>
      </c>
    </row>
    <row r="359" spans="1:16" x14ac:dyDescent="0.25">
      <c r="A359" s="1">
        <v>371</v>
      </c>
      <c r="B359" s="2">
        <v>45463</v>
      </c>
      <c r="C359">
        <v>0</v>
      </c>
      <c r="D359">
        <v>82100</v>
      </c>
      <c r="E359">
        <v>87888</v>
      </c>
      <c r="F359">
        <v>81536</v>
      </c>
      <c r="G359">
        <v>87617</v>
      </c>
      <c r="H359">
        <v>1320477</v>
      </c>
      <c r="I359">
        <v>1757.84</v>
      </c>
      <c r="J359">
        <v>1</v>
      </c>
      <c r="K359">
        <v>0</v>
      </c>
      <c r="L359">
        <v>468</v>
      </c>
      <c r="M359">
        <v>936</v>
      </c>
      <c r="N359">
        <v>0</v>
      </c>
      <c r="O359">
        <v>468</v>
      </c>
      <c r="P359">
        <v>468</v>
      </c>
    </row>
    <row r="360" spans="1:16" x14ac:dyDescent="0.25">
      <c r="A360" s="1">
        <v>372</v>
      </c>
      <c r="B360" s="2">
        <v>45464</v>
      </c>
      <c r="C360">
        <v>0</v>
      </c>
      <c r="D360">
        <v>87604</v>
      </c>
      <c r="E360">
        <v>88990</v>
      </c>
      <c r="F360">
        <v>85650</v>
      </c>
      <c r="G360">
        <v>86984</v>
      </c>
      <c r="H360">
        <v>1175816</v>
      </c>
      <c r="I360">
        <v>1870.85</v>
      </c>
      <c r="J360">
        <v>0</v>
      </c>
      <c r="K360">
        <v>1</v>
      </c>
      <c r="L360">
        <v>586</v>
      </c>
      <c r="M360">
        <v>1172</v>
      </c>
      <c r="N360">
        <v>586</v>
      </c>
      <c r="O360">
        <v>0</v>
      </c>
      <c r="P360">
        <v>586</v>
      </c>
    </row>
    <row r="361" spans="1:16" x14ac:dyDescent="0.25">
      <c r="A361" s="1">
        <v>373</v>
      </c>
      <c r="B361" s="2">
        <v>45467</v>
      </c>
      <c r="C361">
        <v>0</v>
      </c>
      <c r="D361">
        <v>86900</v>
      </c>
      <c r="E361">
        <v>87650</v>
      </c>
      <c r="F361">
        <v>85280</v>
      </c>
      <c r="G361">
        <v>85400</v>
      </c>
      <c r="H361">
        <v>742800</v>
      </c>
      <c r="I361">
        <v>1906.5</v>
      </c>
      <c r="J361">
        <v>0</v>
      </c>
      <c r="K361">
        <v>0</v>
      </c>
      <c r="L361">
        <v>624</v>
      </c>
      <c r="M361">
        <v>1247</v>
      </c>
      <c r="N361">
        <v>0</v>
      </c>
      <c r="O361">
        <v>1247</v>
      </c>
      <c r="P361">
        <v>1247</v>
      </c>
    </row>
    <row r="362" spans="1:16" x14ac:dyDescent="0.25">
      <c r="A362" s="1">
        <v>374</v>
      </c>
      <c r="B362" s="2">
        <v>45468</v>
      </c>
      <c r="C362">
        <v>0</v>
      </c>
      <c r="D362">
        <v>85427</v>
      </c>
      <c r="E362">
        <v>87070</v>
      </c>
      <c r="F362">
        <v>85101</v>
      </c>
      <c r="G362">
        <v>86862</v>
      </c>
      <c r="H362">
        <v>612905</v>
      </c>
      <c r="I362">
        <v>1910.97</v>
      </c>
      <c r="J362">
        <v>1</v>
      </c>
      <c r="K362">
        <v>0</v>
      </c>
      <c r="L362">
        <v>636</v>
      </c>
      <c r="M362">
        <v>1271</v>
      </c>
      <c r="N362">
        <v>0</v>
      </c>
      <c r="O362">
        <v>636</v>
      </c>
      <c r="P362">
        <v>636</v>
      </c>
    </row>
    <row r="363" spans="1:16" x14ac:dyDescent="0.25">
      <c r="A363" s="1">
        <v>375</v>
      </c>
      <c r="B363" s="2">
        <v>45469</v>
      </c>
      <c r="C363">
        <v>0</v>
      </c>
      <c r="D363">
        <v>86961</v>
      </c>
      <c r="E363">
        <v>87416</v>
      </c>
      <c r="F363">
        <v>85503</v>
      </c>
      <c r="G363">
        <v>85715</v>
      </c>
      <c r="H363">
        <v>609336</v>
      </c>
      <c r="I363">
        <v>1911.11</v>
      </c>
      <c r="J363">
        <v>0</v>
      </c>
      <c r="K363">
        <v>1</v>
      </c>
      <c r="L363">
        <v>637</v>
      </c>
      <c r="M363">
        <v>1274</v>
      </c>
      <c r="N363">
        <v>637</v>
      </c>
      <c r="O363">
        <v>0</v>
      </c>
      <c r="P363">
        <v>637</v>
      </c>
    </row>
    <row r="364" spans="1:16" x14ac:dyDescent="0.25">
      <c r="A364" s="1">
        <v>376</v>
      </c>
      <c r="B364" s="2">
        <v>45470</v>
      </c>
      <c r="C364">
        <v>0</v>
      </c>
      <c r="D364">
        <v>85697</v>
      </c>
      <c r="E364">
        <v>86322</v>
      </c>
      <c r="F364">
        <v>84141</v>
      </c>
      <c r="G364">
        <v>85641</v>
      </c>
      <c r="H364">
        <v>817871</v>
      </c>
      <c r="I364">
        <v>1930.39</v>
      </c>
      <c r="J364">
        <v>0</v>
      </c>
      <c r="K364">
        <v>0</v>
      </c>
      <c r="L364">
        <v>637</v>
      </c>
      <c r="M364">
        <v>1274</v>
      </c>
      <c r="N364">
        <v>0</v>
      </c>
      <c r="O364">
        <v>153</v>
      </c>
      <c r="P364">
        <v>153</v>
      </c>
    </row>
    <row r="365" spans="1:16" x14ac:dyDescent="0.25">
      <c r="A365" s="1">
        <v>377</v>
      </c>
      <c r="B365" s="2">
        <v>45471</v>
      </c>
      <c r="C365">
        <v>0</v>
      </c>
      <c r="D365">
        <v>85640</v>
      </c>
      <c r="E365">
        <v>87295</v>
      </c>
      <c r="F365">
        <v>85214</v>
      </c>
      <c r="G365">
        <v>87130</v>
      </c>
      <c r="H365">
        <v>789270</v>
      </c>
      <c r="I365">
        <v>1941.15</v>
      </c>
      <c r="J365">
        <v>1</v>
      </c>
      <c r="K365">
        <v>0</v>
      </c>
      <c r="L365">
        <v>643</v>
      </c>
      <c r="M365">
        <v>1287</v>
      </c>
      <c r="N365">
        <v>0</v>
      </c>
      <c r="O365">
        <v>643</v>
      </c>
      <c r="P365">
        <v>643</v>
      </c>
    </row>
    <row r="366" spans="1:16" x14ac:dyDescent="0.25">
      <c r="A366" s="1">
        <v>378</v>
      </c>
      <c r="B366" s="2">
        <v>45474</v>
      </c>
      <c r="C366">
        <v>0</v>
      </c>
      <c r="D366">
        <v>87201</v>
      </c>
      <c r="E366">
        <v>87800</v>
      </c>
      <c r="F366">
        <v>86911</v>
      </c>
      <c r="G366">
        <v>87702</v>
      </c>
      <c r="H366">
        <v>564416</v>
      </c>
      <c r="I366">
        <v>1865.99</v>
      </c>
      <c r="J366">
        <v>1</v>
      </c>
      <c r="K366">
        <v>1</v>
      </c>
      <c r="L366">
        <v>647</v>
      </c>
      <c r="M366">
        <v>1294</v>
      </c>
      <c r="N366">
        <v>471</v>
      </c>
      <c r="O366">
        <v>0</v>
      </c>
      <c r="P366">
        <v>471</v>
      </c>
    </row>
    <row r="367" spans="1:16" x14ac:dyDescent="0.25">
      <c r="A367" s="1">
        <v>379</v>
      </c>
      <c r="B367" s="2">
        <v>45475</v>
      </c>
      <c r="C367">
        <v>0</v>
      </c>
      <c r="D367">
        <v>87749</v>
      </c>
      <c r="E367">
        <v>88579</v>
      </c>
      <c r="F367">
        <v>87300</v>
      </c>
      <c r="G367">
        <v>87575</v>
      </c>
      <c r="H367">
        <v>715333</v>
      </c>
      <c r="I367">
        <v>1824.07</v>
      </c>
      <c r="J367">
        <v>0</v>
      </c>
      <c r="K367">
        <v>1</v>
      </c>
      <c r="L367">
        <v>622</v>
      </c>
      <c r="M367">
        <v>1244</v>
      </c>
      <c r="N367">
        <v>-148</v>
      </c>
      <c r="O367">
        <v>0</v>
      </c>
      <c r="P367">
        <v>-148</v>
      </c>
    </row>
    <row r="368" spans="1:16" x14ac:dyDescent="0.25">
      <c r="A368" s="1">
        <v>380</v>
      </c>
      <c r="B368" s="2">
        <v>45476</v>
      </c>
      <c r="C368">
        <v>0</v>
      </c>
      <c r="D368">
        <v>87492</v>
      </c>
      <c r="E368">
        <v>88940</v>
      </c>
      <c r="F368">
        <v>87351</v>
      </c>
      <c r="G368">
        <v>88628</v>
      </c>
      <c r="H368">
        <v>574324</v>
      </c>
      <c r="I368">
        <v>1807.28</v>
      </c>
      <c r="J368">
        <v>1</v>
      </c>
      <c r="K368">
        <v>0</v>
      </c>
      <c r="L368">
        <v>608</v>
      </c>
      <c r="M368">
        <v>1216</v>
      </c>
      <c r="N368">
        <v>0</v>
      </c>
      <c r="O368">
        <v>608</v>
      </c>
      <c r="P368">
        <v>608</v>
      </c>
    </row>
    <row r="369" spans="1:16" x14ac:dyDescent="0.25">
      <c r="A369" s="1">
        <v>381</v>
      </c>
      <c r="B369" s="2">
        <v>45477</v>
      </c>
      <c r="C369">
        <v>0</v>
      </c>
      <c r="D369">
        <v>88628</v>
      </c>
      <c r="E369">
        <v>89817</v>
      </c>
      <c r="F369">
        <v>88628</v>
      </c>
      <c r="G369">
        <v>89581</v>
      </c>
      <c r="H369">
        <v>440345</v>
      </c>
      <c r="I369">
        <v>1763.11</v>
      </c>
      <c r="J369">
        <v>1</v>
      </c>
      <c r="K369">
        <v>1</v>
      </c>
      <c r="L369">
        <v>602</v>
      </c>
      <c r="M369">
        <v>1205</v>
      </c>
      <c r="N369">
        <v>1063</v>
      </c>
      <c r="O369">
        <v>0</v>
      </c>
      <c r="P369">
        <v>1063</v>
      </c>
    </row>
    <row r="370" spans="1:16" x14ac:dyDescent="0.25">
      <c r="A370" s="1">
        <v>382</v>
      </c>
      <c r="B370" s="2">
        <v>45478</v>
      </c>
      <c r="C370">
        <v>0</v>
      </c>
      <c r="D370">
        <v>89585</v>
      </c>
      <c r="E370">
        <v>89800</v>
      </c>
      <c r="F370">
        <v>88100</v>
      </c>
      <c r="G370">
        <v>89102</v>
      </c>
      <c r="H370">
        <v>650629</v>
      </c>
      <c r="I370">
        <v>1758.61</v>
      </c>
      <c r="J370">
        <v>0</v>
      </c>
      <c r="K370">
        <v>1</v>
      </c>
      <c r="L370">
        <v>588</v>
      </c>
      <c r="M370">
        <v>1175</v>
      </c>
      <c r="N370">
        <v>-548</v>
      </c>
      <c r="O370">
        <v>0</v>
      </c>
      <c r="P370">
        <v>-548</v>
      </c>
    </row>
    <row r="371" spans="1:16" x14ac:dyDescent="0.25">
      <c r="A371" s="1">
        <v>383</v>
      </c>
      <c r="B371" s="2">
        <v>45481</v>
      </c>
      <c r="C371">
        <v>0</v>
      </c>
      <c r="D371">
        <v>89103</v>
      </c>
      <c r="E371">
        <v>89637</v>
      </c>
      <c r="F371">
        <v>88406</v>
      </c>
      <c r="G371">
        <v>88678</v>
      </c>
      <c r="H371">
        <v>501137</v>
      </c>
      <c r="I371">
        <v>1720.92</v>
      </c>
      <c r="J371">
        <v>0</v>
      </c>
      <c r="K371">
        <v>0</v>
      </c>
      <c r="L371">
        <v>586</v>
      </c>
      <c r="M371">
        <v>1172</v>
      </c>
      <c r="N371">
        <v>0</v>
      </c>
      <c r="O371">
        <v>385</v>
      </c>
      <c r="P371">
        <v>385</v>
      </c>
    </row>
    <row r="372" spans="1:16" x14ac:dyDescent="0.25">
      <c r="A372" s="1">
        <v>384</v>
      </c>
      <c r="B372" s="2">
        <v>45482</v>
      </c>
      <c r="C372">
        <v>0</v>
      </c>
      <c r="D372">
        <v>88698</v>
      </c>
      <c r="E372">
        <v>89041</v>
      </c>
      <c r="F372">
        <v>87576</v>
      </c>
      <c r="G372">
        <v>87970</v>
      </c>
      <c r="H372">
        <v>629893</v>
      </c>
      <c r="I372">
        <v>1702.64</v>
      </c>
      <c r="J372">
        <v>0</v>
      </c>
      <c r="K372">
        <v>0</v>
      </c>
      <c r="L372">
        <v>574</v>
      </c>
      <c r="M372">
        <v>1147</v>
      </c>
      <c r="N372">
        <v>0</v>
      </c>
      <c r="O372">
        <v>748</v>
      </c>
      <c r="P372">
        <v>748</v>
      </c>
    </row>
    <row r="373" spans="1:16" x14ac:dyDescent="0.25">
      <c r="A373" s="1">
        <v>385</v>
      </c>
      <c r="B373" s="2">
        <v>45483</v>
      </c>
      <c r="C373">
        <v>0</v>
      </c>
      <c r="D373">
        <v>88018</v>
      </c>
      <c r="E373">
        <v>89176</v>
      </c>
      <c r="F373">
        <v>87805</v>
      </c>
      <c r="G373">
        <v>88975</v>
      </c>
      <c r="H373">
        <v>554886</v>
      </c>
      <c r="I373">
        <v>1678.95</v>
      </c>
      <c r="J373">
        <v>1</v>
      </c>
      <c r="K373">
        <v>0</v>
      </c>
      <c r="L373">
        <v>568</v>
      </c>
      <c r="M373">
        <v>1135</v>
      </c>
      <c r="N373">
        <v>0</v>
      </c>
      <c r="O373">
        <v>-961</v>
      </c>
      <c r="P373">
        <v>-961</v>
      </c>
    </row>
    <row r="374" spans="1:16" x14ac:dyDescent="0.25">
      <c r="A374" s="1">
        <v>386</v>
      </c>
      <c r="B374" s="2">
        <v>45484</v>
      </c>
      <c r="C374">
        <v>0</v>
      </c>
      <c r="D374">
        <v>88975</v>
      </c>
      <c r="E374">
        <v>89374</v>
      </c>
      <c r="F374">
        <v>88531</v>
      </c>
      <c r="G374">
        <v>88673</v>
      </c>
      <c r="H374">
        <v>525607</v>
      </c>
      <c r="I374">
        <v>1619.24</v>
      </c>
      <c r="J374">
        <v>0</v>
      </c>
      <c r="K374">
        <v>1</v>
      </c>
      <c r="L374">
        <v>560</v>
      </c>
      <c r="M374">
        <v>1119</v>
      </c>
      <c r="N374">
        <v>-333</v>
      </c>
      <c r="O374">
        <v>0</v>
      </c>
      <c r="P374">
        <v>-333</v>
      </c>
    </row>
    <row r="375" spans="1:16" x14ac:dyDescent="0.25">
      <c r="A375" s="1">
        <v>387</v>
      </c>
      <c r="B375" s="2">
        <v>45485</v>
      </c>
      <c r="C375">
        <v>0</v>
      </c>
      <c r="D375">
        <v>88681</v>
      </c>
      <c r="E375">
        <v>89144</v>
      </c>
      <c r="F375">
        <v>88596</v>
      </c>
      <c r="G375">
        <v>88810</v>
      </c>
      <c r="H375">
        <v>398444</v>
      </c>
      <c r="I375">
        <v>1542.72</v>
      </c>
      <c r="J375">
        <v>1</v>
      </c>
      <c r="K375">
        <v>0</v>
      </c>
      <c r="L375">
        <v>540</v>
      </c>
      <c r="M375">
        <v>1079</v>
      </c>
      <c r="N375">
        <v>0</v>
      </c>
      <c r="O375">
        <v>-116</v>
      </c>
      <c r="P375">
        <v>-116</v>
      </c>
    </row>
    <row r="376" spans="1:16" x14ac:dyDescent="0.25">
      <c r="A376" s="1">
        <v>388</v>
      </c>
      <c r="B376" s="2">
        <v>45488</v>
      </c>
      <c r="C376">
        <v>0</v>
      </c>
      <c r="D376">
        <v>88901</v>
      </c>
      <c r="E376">
        <v>89335</v>
      </c>
      <c r="F376">
        <v>88035</v>
      </c>
      <c r="G376">
        <v>89129</v>
      </c>
      <c r="H376">
        <v>640644</v>
      </c>
      <c r="I376">
        <v>1525.39</v>
      </c>
      <c r="J376">
        <v>1</v>
      </c>
      <c r="K376">
        <v>1</v>
      </c>
      <c r="L376">
        <v>514</v>
      </c>
      <c r="M376">
        <v>1028</v>
      </c>
      <c r="N376">
        <v>367</v>
      </c>
      <c r="O376">
        <v>0</v>
      </c>
      <c r="P376">
        <v>367</v>
      </c>
    </row>
    <row r="377" spans="1:16" x14ac:dyDescent="0.25">
      <c r="A377" s="1">
        <v>389</v>
      </c>
      <c r="B377" s="2">
        <v>45489</v>
      </c>
      <c r="C377">
        <v>0</v>
      </c>
      <c r="D377">
        <v>89128</v>
      </c>
      <c r="E377">
        <v>89350</v>
      </c>
      <c r="F377">
        <v>88525</v>
      </c>
      <c r="G377">
        <v>88816</v>
      </c>
      <c r="H377">
        <v>422395</v>
      </c>
      <c r="I377">
        <v>1475.36</v>
      </c>
      <c r="J377">
        <v>0</v>
      </c>
      <c r="K377">
        <v>1</v>
      </c>
      <c r="L377">
        <v>508</v>
      </c>
      <c r="M377">
        <v>1017</v>
      </c>
      <c r="N377">
        <v>-168</v>
      </c>
      <c r="O377">
        <v>0</v>
      </c>
      <c r="P377">
        <v>-168</v>
      </c>
    </row>
    <row r="378" spans="1:16" x14ac:dyDescent="0.25">
      <c r="A378" s="1">
        <v>390</v>
      </c>
      <c r="B378" s="2">
        <v>45490</v>
      </c>
      <c r="C378">
        <v>0</v>
      </c>
      <c r="D378">
        <v>88855</v>
      </c>
      <c r="E378">
        <v>89070</v>
      </c>
      <c r="F378">
        <v>87904</v>
      </c>
      <c r="G378">
        <v>87904</v>
      </c>
      <c r="H378">
        <v>411739</v>
      </c>
      <c r="I378">
        <v>1453.26</v>
      </c>
      <c r="J378">
        <v>0</v>
      </c>
      <c r="K378">
        <v>0</v>
      </c>
      <c r="L378">
        <v>492</v>
      </c>
      <c r="M378">
        <v>984</v>
      </c>
      <c r="N378">
        <v>0</v>
      </c>
      <c r="O378">
        <v>841</v>
      </c>
      <c r="P378">
        <v>841</v>
      </c>
    </row>
    <row r="379" spans="1:16" x14ac:dyDescent="0.25">
      <c r="A379" s="1">
        <v>391</v>
      </c>
      <c r="B379" s="2">
        <v>45491</v>
      </c>
      <c r="C379">
        <v>0</v>
      </c>
      <c r="D379">
        <v>87967</v>
      </c>
      <c r="E379">
        <v>88465</v>
      </c>
      <c r="F379">
        <v>87808</v>
      </c>
      <c r="G379">
        <v>88440</v>
      </c>
      <c r="H379">
        <v>449881</v>
      </c>
      <c r="I379">
        <v>1396.39</v>
      </c>
      <c r="J379">
        <v>1</v>
      </c>
      <c r="K379">
        <v>0</v>
      </c>
      <c r="L379">
        <v>484</v>
      </c>
      <c r="M379">
        <v>969</v>
      </c>
      <c r="N379">
        <v>0</v>
      </c>
      <c r="O379">
        <v>-435</v>
      </c>
      <c r="P379">
        <v>-435</v>
      </c>
    </row>
    <row r="380" spans="1:16" x14ac:dyDescent="0.25">
      <c r="A380" s="1">
        <v>392</v>
      </c>
      <c r="B380" s="2">
        <v>45492</v>
      </c>
      <c r="C380">
        <v>0</v>
      </c>
      <c r="D380">
        <v>88461</v>
      </c>
      <c r="E380">
        <v>88845</v>
      </c>
      <c r="F380">
        <v>87762</v>
      </c>
      <c r="G380">
        <v>87959</v>
      </c>
      <c r="H380">
        <v>445314</v>
      </c>
      <c r="I380">
        <v>1374</v>
      </c>
      <c r="J380">
        <v>0</v>
      </c>
      <c r="K380">
        <v>1</v>
      </c>
      <c r="L380">
        <v>465</v>
      </c>
      <c r="M380">
        <v>931</v>
      </c>
      <c r="N380">
        <v>465</v>
      </c>
      <c r="O380">
        <v>0</v>
      </c>
      <c r="P380">
        <v>465</v>
      </c>
    </row>
    <row r="381" spans="1:16" x14ac:dyDescent="0.25">
      <c r="A381" s="1">
        <v>393</v>
      </c>
      <c r="B381" s="2">
        <v>45495</v>
      </c>
      <c r="C381">
        <v>0</v>
      </c>
      <c r="D381">
        <v>87940</v>
      </c>
      <c r="E381">
        <v>88523</v>
      </c>
      <c r="F381">
        <v>87732</v>
      </c>
      <c r="G381">
        <v>88445</v>
      </c>
      <c r="H381">
        <v>364028</v>
      </c>
      <c r="I381">
        <v>1332.36</v>
      </c>
      <c r="J381">
        <v>1</v>
      </c>
      <c r="K381">
        <v>0</v>
      </c>
      <c r="L381">
        <v>458</v>
      </c>
      <c r="M381">
        <v>916</v>
      </c>
      <c r="N381">
        <v>0</v>
      </c>
      <c r="O381">
        <v>-488</v>
      </c>
      <c r="P381">
        <v>-488</v>
      </c>
    </row>
    <row r="382" spans="1:16" x14ac:dyDescent="0.25">
      <c r="A382" s="1">
        <v>394</v>
      </c>
      <c r="B382" s="2">
        <v>45496</v>
      </c>
      <c r="C382">
        <v>0</v>
      </c>
      <c r="D382">
        <v>88439</v>
      </c>
      <c r="E382">
        <v>88449</v>
      </c>
      <c r="F382">
        <v>87220</v>
      </c>
      <c r="G382">
        <v>87532</v>
      </c>
      <c r="H382">
        <v>399794</v>
      </c>
      <c r="I382">
        <v>1324.97</v>
      </c>
      <c r="J382">
        <v>0</v>
      </c>
      <c r="K382">
        <v>1</v>
      </c>
      <c r="L382">
        <v>444</v>
      </c>
      <c r="M382">
        <v>888</v>
      </c>
      <c r="N382">
        <v>444</v>
      </c>
      <c r="O382">
        <v>0</v>
      </c>
      <c r="P382">
        <v>444</v>
      </c>
    </row>
    <row r="383" spans="1:16" x14ac:dyDescent="0.25">
      <c r="A383" s="1">
        <v>395</v>
      </c>
      <c r="B383" s="2">
        <v>45497</v>
      </c>
      <c r="C383">
        <v>0</v>
      </c>
      <c r="D383">
        <v>87532</v>
      </c>
      <c r="E383">
        <v>87532</v>
      </c>
      <c r="F383">
        <v>86800</v>
      </c>
      <c r="G383">
        <v>86880</v>
      </c>
      <c r="H383">
        <v>305076</v>
      </c>
      <c r="I383">
        <v>1282.6199999999999</v>
      </c>
      <c r="J383">
        <v>0</v>
      </c>
      <c r="K383">
        <v>0</v>
      </c>
      <c r="L383">
        <v>442</v>
      </c>
      <c r="M383">
        <v>883</v>
      </c>
      <c r="N383">
        <v>0</v>
      </c>
      <c r="O383">
        <v>663</v>
      </c>
      <c r="P383">
        <v>663</v>
      </c>
    </row>
    <row r="384" spans="1:16" x14ac:dyDescent="0.25">
      <c r="A384" s="1">
        <v>396</v>
      </c>
      <c r="B384" s="2">
        <v>45498</v>
      </c>
      <c r="C384">
        <v>0</v>
      </c>
      <c r="D384">
        <v>86850</v>
      </c>
      <c r="E384">
        <v>86860</v>
      </c>
      <c r="F384">
        <v>86010</v>
      </c>
      <c r="G384">
        <v>86409</v>
      </c>
      <c r="H384">
        <v>464865</v>
      </c>
      <c r="I384">
        <v>1253.1500000000001</v>
      </c>
      <c r="J384">
        <v>0</v>
      </c>
      <c r="K384">
        <v>0</v>
      </c>
      <c r="L384">
        <v>428</v>
      </c>
      <c r="M384">
        <v>855</v>
      </c>
      <c r="N384">
        <v>0</v>
      </c>
      <c r="O384">
        <v>538</v>
      </c>
      <c r="P384">
        <v>538</v>
      </c>
    </row>
    <row r="385" spans="1:16" x14ac:dyDescent="0.25">
      <c r="A385" s="1">
        <v>397</v>
      </c>
      <c r="B385" s="2">
        <v>45499</v>
      </c>
      <c r="C385">
        <v>0</v>
      </c>
      <c r="D385">
        <v>86340</v>
      </c>
      <c r="E385">
        <v>87615</v>
      </c>
      <c r="F385">
        <v>86152</v>
      </c>
      <c r="G385">
        <v>87300</v>
      </c>
      <c r="H385">
        <v>723640</v>
      </c>
      <c r="I385">
        <v>1268.1400000000001</v>
      </c>
      <c r="J385">
        <v>1</v>
      </c>
      <c r="K385">
        <v>0</v>
      </c>
      <c r="L385">
        <v>418</v>
      </c>
      <c r="M385">
        <v>835</v>
      </c>
      <c r="N385">
        <v>0</v>
      </c>
      <c r="O385">
        <v>418</v>
      </c>
      <c r="P385">
        <v>418</v>
      </c>
    </row>
    <row r="386" spans="1:16" x14ac:dyDescent="0.25">
      <c r="A386" s="1">
        <v>398</v>
      </c>
      <c r="B386" s="2">
        <v>45502</v>
      </c>
      <c r="C386">
        <v>0</v>
      </c>
      <c r="D386">
        <v>87287</v>
      </c>
      <c r="E386">
        <v>87599</v>
      </c>
      <c r="F386">
        <v>86516</v>
      </c>
      <c r="G386">
        <v>86692</v>
      </c>
      <c r="H386">
        <v>374431</v>
      </c>
      <c r="I386">
        <v>1254.9100000000001</v>
      </c>
      <c r="J386">
        <v>0</v>
      </c>
      <c r="K386">
        <v>1</v>
      </c>
      <c r="L386">
        <v>423</v>
      </c>
      <c r="M386">
        <v>845</v>
      </c>
      <c r="N386">
        <v>423</v>
      </c>
      <c r="O386">
        <v>0</v>
      </c>
      <c r="P386">
        <v>423</v>
      </c>
    </row>
    <row r="387" spans="1:16" x14ac:dyDescent="0.25">
      <c r="A387" s="1">
        <v>399</v>
      </c>
      <c r="B387" s="2">
        <v>45503</v>
      </c>
      <c r="C387">
        <v>0</v>
      </c>
      <c r="D387">
        <v>86720</v>
      </c>
      <c r="E387">
        <v>87330</v>
      </c>
      <c r="F387">
        <v>86650</v>
      </c>
      <c r="G387">
        <v>87130</v>
      </c>
      <c r="H387">
        <v>378225</v>
      </c>
      <c r="I387">
        <v>1213.8499999999999</v>
      </c>
      <c r="J387">
        <v>1</v>
      </c>
      <c r="K387">
        <v>0</v>
      </c>
      <c r="L387">
        <v>418</v>
      </c>
      <c r="M387">
        <v>837</v>
      </c>
      <c r="N387">
        <v>0</v>
      </c>
      <c r="O387">
        <v>-404</v>
      </c>
      <c r="P387">
        <v>-404</v>
      </c>
    </row>
    <row r="388" spans="1:16" x14ac:dyDescent="0.25">
      <c r="A388" s="1">
        <v>400</v>
      </c>
      <c r="B388" s="2">
        <v>45504</v>
      </c>
      <c r="C388">
        <v>0</v>
      </c>
      <c r="D388">
        <v>87128</v>
      </c>
      <c r="E388">
        <v>87250</v>
      </c>
      <c r="F388">
        <v>86029</v>
      </c>
      <c r="G388">
        <v>86280</v>
      </c>
      <c r="H388">
        <v>532405</v>
      </c>
      <c r="I388">
        <v>1214.3599999999999</v>
      </c>
      <c r="J388">
        <v>0</v>
      </c>
      <c r="K388">
        <v>1</v>
      </c>
      <c r="L388">
        <v>405</v>
      </c>
      <c r="M388">
        <v>809</v>
      </c>
      <c r="N388">
        <v>405</v>
      </c>
      <c r="O388">
        <v>0</v>
      </c>
      <c r="P388">
        <v>405</v>
      </c>
    </row>
    <row r="389" spans="1:16" x14ac:dyDescent="0.25">
      <c r="A389" s="1">
        <v>401</v>
      </c>
      <c r="B389" s="2">
        <v>45505</v>
      </c>
      <c r="C389">
        <v>0</v>
      </c>
      <c r="D389">
        <v>86299</v>
      </c>
      <c r="E389">
        <v>86650</v>
      </c>
      <c r="F389">
        <v>85600</v>
      </c>
      <c r="G389">
        <v>85867</v>
      </c>
      <c r="H389">
        <v>416044</v>
      </c>
      <c r="I389">
        <v>1202.6199999999999</v>
      </c>
      <c r="J389">
        <v>0</v>
      </c>
      <c r="K389">
        <v>0</v>
      </c>
      <c r="L389">
        <v>405</v>
      </c>
      <c r="M389">
        <v>810</v>
      </c>
      <c r="N389">
        <v>0</v>
      </c>
      <c r="O389">
        <v>460</v>
      </c>
      <c r="P389">
        <v>460</v>
      </c>
    </row>
    <row r="390" spans="1:16" x14ac:dyDescent="0.25">
      <c r="A390" s="1">
        <v>402</v>
      </c>
      <c r="B390" s="2">
        <v>45506</v>
      </c>
      <c r="C390">
        <v>0</v>
      </c>
      <c r="D390">
        <v>85752</v>
      </c>
      <c r="E390">
        <v>86492</v>
      </c>
      <c r="F390">
        <v>85506</v>
      </c>
      <c r="G390">
        <v>85976</v>
      </c>
      <c r="H390">
        <v>543040</v>
      </c>
      <c r="I390">
        <v>1187.1500000000001</v>
      </c>
      <c r="J390">
        <v>1</v>
      </c>
      <c r="K390">
        <v>0</v>
      </c>
      <c r="L390">
        <v>401</v>
      </c>
      <c r="M390">
        <v>802</v>
      </c>
      <c r="N390">
        <v>0</v>
      </c>
      <c r="O390">
        <v>-163</v>
      </c>
      <c r="P390">
        <v>-163</v>
      </c>
    </row>
    <row r="391" spans="1:16" x14ac:dyDescent="0.25">
      <c r="A391" s="1">
        <v>403</v>
      </c>
      <c r="B391" s="2">
        <v>45509</v>
      </c>
      <c r="C391">
        <v>0</v>
      </c>
      <c r="D391">
        <v>85983</v>
      </c>
      <c r="E391">
        <v>86242</v>
      </c>
      <c r="F391">
        <v>84941</v>
      </c>
      <c r="G391">
        <v>85795</v>
      </c>
      <c r="H391">
        <v>576979</v>
      </c>
      <c r="I391">
        <v>1195.28</v>
      </c>
      <c r="J391">
        <v>0</v>
      </c>
      <c r="K391">
        <v>1</v>
      </c>
      <c r="L391">
        <v>396</v>
      </c>
      <c r="M391">
        <v>791</v>
      </c>
      <c r="N391">
        <v>-226</v>
      </c>
      <c r="O391">
        <v>0</v>
      </c>
      <c r="P391">
        <v>-226</v>
      </c>
    </row>
    <row r="392" spans="1:16" x14ac:dyDescent="0.25">
      <c r="A392" s="1">
        <v>404</v>
      </c>
      <c r="B392" s="2">
        <v>45510</v>
      </c>
      <c r="C392">
        <v>0</v>
      </c>
      <c r="D392">
        <v>85816</v>
      </c>
      <c r="E392">
        <v>86386</v>
      </c>
      <c r="F392">
        <v>85183</v>
      </c>
      <c r="G392">
        <v>86284</v>
      </c>
      <c r="H392">
        <v>536605</v>
      </c>
      <c r="I392">
        <v>1195.83</v>
      </c>
      <c r="J392">
        <v>1</v>
      </c>
      <c r="K392">
        <v>0</v>
      </c>
      <c r="L392">
        <v>398</v>
      </c>
      <c r="M392">
        <v>797</v>
      </c>
      <c r="N392">
        <v>0</v>
      </c>
      <c r="O392">
        <v>-389</v>
      </c>
      <c r="P392">
        <v>-389</v>
      </c>
    </row>
    <row r="393" spans="1:16" x14ac:dyDescent="0.25">
      <c r="A393" s="1">
        <v>405</v>
      </c>
      <c r="B393" s="2">
        <v>45511</v>
      </c>
      <c r="C393">
        <v>0</v>
      </c>
      <c r="D393">
        <v>86452</v>
      </c>
      <c r="E393">
        <v>86491</v>
      </c>
      <c r="F393">
        <v>85900</v>
      </c>
      <c r="G393">
        <v>86207</v>
      </c>
      <c r="H393">
        <v>412174</v>
      </c>
      <c r="I393">
        <v>1152.6300000000001</v>
      </c>
      <c r="J393">
        <v>0</v>
      </c>
      <c r="K393">
        <v>1</v>
      </c>
      <c r="L393">
        <v>399</v>
      </c>
      <c r="M393">
        <v>797</v>
      </c>
      <c r="N393">
        <v>-248</v>
      </c>
      <c r="O393">
        <v>0</v>
      </c>
      <c r="P393">
        <v>-248</v>
      </c>
    </row>
    <row r="394" spans="1:16" x14ac:dyDescent="0.25">
      <c r="A394" s="1">
        <v>406</v>
      </c>
      <c r="B394" s="2">
        <v>45512</v>
      </c>
      <c r="C394">
        <v>0</v>
      </c>
      <c r="D394">
        <v>86225</v>
      </c>
      <c r="E394">
        <v>86876</v>
      </c>
      <c r="F394">
        <v>86000</v>
      </c>
      <c r="G394">
        <v>86509</v>
      </c>
      <c r="H394">
        <v>522071</v>
      </c>
      <c r="I394">
        <v>1132.8699999999999</v>
      </c>
      <c r="J394">
        <v>1</v>
      </c>
      <c r="K394">
        <v>0</v>
      </c>
      <c r="L394">
        <v>384</v>
      </c>
      <c r="M394">
        <v>768</v>
      </c>
      <c r="N394">
        <v>0</v>
      </c>
      <c r="O394">
        <v>-394</v>
      </c>
      <c r="P394">
        <v>-394</v>
      </c>
    </row>
    <row r="395" spans="1:16" x14ac:dyDescent="0.25">
      <c r="A395" s="1">
        <v>407</v>
      </c>
      <c r="B395" s="2">
        <v>45513</v>
      </c>
      <c r="C395">
        <v>0</v>
      </c>
      <c r="D395">
        <v>86511</v>
      </c>
      <c r="E395">
        <v>87020</v>
      </c>
      <c r="F395">
        <v>86320</v>
      </c>
      <c r="G395">
        <v>86582</v>
      </c>
      <c r="H395">
        <v>515751</v>
      </c>
      <c r="I395">
        <v>1101.95</v>
      </c>
      <c r="J395">
        <v>1</v>
      </c>
      <c r="K395">
        <v>1</v>
      </c>
      <c r="L395">
        <v>378</v>
      </c>
      <c r="M395">
        <v>755</v>
      </c>
      <c r="N395">
        <v>69</v>
      </c>
      <c r="O395">
        <v>0</v>
      </c>
      <c r="P395">
        <v>69</v>
      </c>
    </row>
    <row r="396" spans="1:16" x14ac:dyDescent="0.25">
      <c r="A396" s="1">
        <v>408</v>
      </c>
      <c r="B396" s="2">
        <v>45516</v>
      </c>
      <c r="C396">
        <v>0</v>
      </c>
      <c r="D396">
        <v>86636</v>
      </c>
      <c r="E396">
        <v>89100</v>
      </c>
      <c r="F396">
        <v>86403</v>
      </c>
      <c r="G396">
        <v>88715</v>
      </c>
      <c r="H396">
        <v>913243</v>
      </c>
      <c r="I396">
        <v>1215.8800000000001</v>
      </c>
      <c r="J396">
        <v>1</v>
      </c>
      <c r="K396">
        <v>1</v>
      </c>
      <c r="L396">
        <v>367</v>
      </c>
      <c r="M396">
        <v>735</v>
      </c>
      <c r="N396">
        <v>735</v>
      </c>
      <c r="O396">
        <v>0</v>
      </c>
      <c r="P396">
        <v>735</v>
      </c>
    </row>
    <row r="397" spans="1:16" x14ac:dyDescent="0.25">
      <c r="A397" s="1">
        <v>409</v>
      </c>
      <c r="B397" s="2">
        <v>45517</v>
      </c>
      <c r="C397">
        <v>0</v>
      </c>
      <c r="D397">
        <v>88768</v>
      </c>
      <c r="E397">
        <v>89890</v>
      </c>
      <c r="F397">
        <v>88570</v>
      </c>
      <c r="G397">
        <v>89527</v>
      </c>
      <c r="H397">
        <v>1067129</v>
      </c>
      <c r="I397">
        <v>1223.32</v>
      </c>
      <c r="J397">
        <v>1</v>
      </c>
      <c r="K397">
        <v>1</v>
      </c>
      <c r="L397">
        <v>405</v>
      </c>
      <c r="M397">
        <v>811</v>
      </c>
      <c r="N397">
        <v>748</v>
      </c>
      <c r="O397">
        <v>0</v>
      </c>
      <c r="P397">
        <v>748</v>
      </c>
    </row>
    <row r="398" spans="1:16" x14ac:dyDescent="0.25">
      <c r="A398" s="1">
        <v>410</v>
      </c>
      <c r="B398" s="2">
        <v>45518</v>
      </c>
      <c r="C398">
        <v>0</v>
      </c>
      <c r="D398">
        <v>89550</v>
      </c>
      <c r="E398">
        <v>89925</v>
      </c>
      <c r="F398">
        <v>87567</v>
      </c>
      <c r="G398">
        <v>87717</v>
      </c>
      <c r="H398">
        <v>798872</v>
      </c>
      <c r="I398">
        <v>1304.3699999999999</v>
      </c>
      <c r="J398">
        <v>0</v>
      </c>
      <c r="K398">
        <v>1</v>
      </c>
      <c r="L398">
        <v>408</v>
      </c>
      <c r="M398">
        <v>816</v>
      </c>
      <c r="N398">
        <v>408</v>
      </c>
      <c r="O398">
        <v>0</v>
      </c>
      <c r="P398">
        <v>408</v>
      </c>
    </row>
    <row r="399" spans="1:16" x14ac:dyDescent="0.25">
      <c r="A399" s="1">
        <v>411</v>
      </c>
      <c r="B399" s="2">
        <v>45519</v>
      </c>
      <c r="C399">
        <v>0</v>
      </c>
      <c r="D399">
        <v>87697</v>
      </c>
      <c r="E399">
        <v>88420</v>
      </c>
      <c r="F399">
        <v>87334</v>
      </c>
      <c r="G399">
        <v>88020</v>
      </c>
      <c r="H399">
        <v>537274</v>
      </c>
      <c r="I399">
        <v>1288.77</v>
      </c>
      <c r="J399">
        <v>1</v>
      </c>
      <c r="K399">
        <v>0</v>
      </c>
      <c r="L399">
        <v>435</v>
      </c>
      <c r="M399">
        <v>870</v>
      </c>
      <c r="N399">
        <v>0</v>
      </c>
      <c r="O399">
        <v>-348</v>
      </c>
      <c r="P399">
        <v>-348</v>
      </c>
    </row>
    <row r="400" spans="1:16" x14ac:dyDescent="0.25">
      <c r="A400" s="1">
        <v>412</v>
      </c>
      <c r="B400" s="2">
        <v>45520</v>
      </c>
      <c r="C400">
        <v>0</v>
      </c>
      <c r="D400">
        <v>88018</v>
      </c>
      <c r="E400">
        <v>88609</v>
      </c>
      <c r="F400">
        <v>87630</v>
      </c>
      <c r="G400">
        <v>88249</v>
      </c>
      <c r="H400">
        <v>468369</v>
      </c>
      <c r="I400">
        <v>1266.6400000000001</v>
      </c>
      <c r="J400">
        <v>1</v>
      </c>
      <c r="K400">
        <v>1</v>
      </c>
      <c r="L400">
        <v>430</v>
      </c>
      <c r="M400">
        <v>859</v>
      </c>
      <c r="N400">
        <v>33</v>
      </c>
      <c r="O400">
        <v>0</v>
      </c>
      <c r="P400">
        <v>33</v>
      </c>
    </row>
    <row r="401" spans="1:16" x14ac:dyDescent="0.25">
      <c r="A401" s="1">
        <v>413</v>
      </c>
      <c r="B401" s="2">
        <v>45523</v>
      </c>
      <c r="C401">
        <v>0</v>
      </c>
      <c r="D401">
        <v>88253</v>
      </c>
      <c r="E401">
        <v>88774</v>
      </c>
      <c r="F401">
        <v>88038</v>
      </c>
      <c r="G401">
        <v>88497</v>
      </c>
      <c r="H401">
        <v>388517</v>
      </c>
      <c r="I401">
        <v>1228.74</v>
      </c>
      <c r="J401">
        <v>1</v>
      </c>
      <c r="K401">
        <v>1</v>
      </c>
      <c r="L401">
        <v>422</v>
      </c>
      <c r="M401">
        <v>844</v>
      </c>
      <c r="N401">
        <v>225</v>
      </c>
      <c r="O401">
        <v>0</v>
      </c>
      <c r="P401">
        <v>225</v>
      </c>
    </row>
    <row r="402" spans="1:16" x14ac:dyDescent="0.25">
      <c r="A402" s="1">
        <v>414</v>
      </c>
      <c r="B402" s="2">
        <v>45524</v>
      </c>
      <c r="C402">
        <v>0</v>
      </c>
      <c r="D402">
        <v>88497</v>
      </c>
      <c r="E402">
        <v>89330</v>
      </c>
      <c r="F402">
        <v>88000</v>
      </c>
      <c r="G402">
        <v>89061</v>
      </c>
      <c r="H402">
        <v>503950</v>
      </c>
      <c r="I402">
        <v>1235.97</v>
      </c>
      <c r="J402">
        <v>1</v>
      </c>
      <c r="K402">
        <v>1</v>
      </c>
      <c r="L402">
        <v>410</v>
      </c>
      <c r="M402">
        <v>819</v>
      </c>
      <c r="N402">
        <v>578</v>
      </c>
      <c r="O402">
        <v>0</v>
      </c>
      <c r="P402">
        <v>578</v>
      </c>
    </row>
    <row r="403" spans="1:16" x14ac:dyDescent="0.25">
      <c r="A403" s="1">
        <v>415</v>
      </c>
      <c r="B403" s="2">
        <v>45525</v>
      </c>
      <c r="C403">
        <v>0</v>
      </c>
      <c r="D403">
        <v>89129</v>
      </c>
      <c r="E403">
        <v>89548</v>
      </c>
      <c r="F403">
        <v>88556</v>
      </c>
      <c r="G403">
        <v>88860</v>
      </c>
      <c r="H403">
        <v>461764</v>
      </c>
      <c r="I403">
        <v>1218.55</v>
      </c>
      <c r="J403">
        <v>0</v>
      </c>
      <c r="K403">
        <v>1</v>
      </c>
      <c r="L403">
        <v>412</v>
      </c>
      <c r="M403">
        <v>824</v>
      </c>
      <c r="N403">
        <v>-280</v>
      </c>
      <c r="O403">
        <v>0</v>
      </c>
      <c r="P403">
        <v>-280</v>
      </c>
    </row>
    <row r="404" spans="1:16" x14ac:dyDescent="0.25">
      <c r="A404" s="1">
        <v>416</v>
      </c>
      <c r="B404" s="2">
        <v>45526</v>
      </c>
      <c r="C404">
        <v>0</v>
      </c>
      <c r="D404">
        <v>88884</v>
      </c>
      <c r="E404">
        <v>88950</v>
      </c>
      <c r="F404">
        <v>87289</v>
      </c>
      <c r="G404">
        <v>87767</v>
      </c>
      <c r="H404">
        <v>623615</v>
      </c>
      <c r="I404">
        <v>1250.1500000000001</v>
      </c>
      <c r="J404">
        <v>0</v>
      </c>
      <c r="K404">
        <v>0</v>
      </c>
      <c r="L404">
        <v>406</v>
      </c>
      <c r="M404">
        <v>812</v>
      </c>
      <c r="N404">
        <v>0</v>
      </c>
      <c r="O404">
        <v>812</v>
      </c>
      <c r="P404">
        <v>812</v>
      </c>
    </row>
    <row r="405" spans="1:16" x14ac:dyDescent="0.25">
      <c r="A405" s="1">
        <v>417</v>
      </c>
      <c r="B405" s="2">
        <v>45527</v>
      </c>
      <c r="C405">
        <v>0</v>
      </c>
      <c r="D405">
        <v>87777</v>
      </c>
      <c r="E405">
        <v>89045</v>
      </c>
      <c r="F405">
        <v>87467</v>
      </c>
      <c r="G405">
        <v>88603</v>
      </c>
      <c r="H405">
        <v>661800</v>
      </c>
      <c r="I405">
        <v>1273.57</v>
      </c>
      <c r="J405">
        <v>1</v>
      </c>
      <c r="K405">
        <v>0</v>
      </c>
      <c r="L405">
        <v>417</v>
      </c>
      <c r="M405">
        <v>833</v>
      </c>
      <c r="N405">
        <v>0</v>
      </c>
      <c r="O405">
        <v>417</v>
      </c>
      <c r="P405">
        <v>417</v>
      </c>
    </row>
    <row r="406" spans="1:16" x14ac:dyDescent="0.25">
      <c r="A406" s="1">
        <v>418</v>
      </c>
      <c r="B406" s="2">
        <v>45530</v>
      </c>
      <c r="C406">
        <v>0</v>
      </c>
      <c r="D406">
        <v>88694</v>
      </c>
      <c r="E406">
        <v>89651</v>
      </c>
      <c r="F406">
        <v>88213</v>
      </c>
      <c r="G406">
        <v>89113</v>
      </c>
      <c r="H406">
        <v>659823</v>
      </c>
      <c r="I406">
        <v>1285.31</v>
      </c>
      <c r="J406">
        <v>1</v>
      </c>
      <c r="K406">
        <v>1</v>
      </c>
      <c r="L406">
        <v>425</v>
      </c>
      <c r="M406">
        <v>849</v>
      </c>
      <c r="N406">
        <v>423</v>
      </c>
      <c r="O406">
        <v>0</v>
      </c>
      <c r="P406">
        <v>423</v>
      </c>
    </row>
    <row r="407" spans="1:16" x14ac:dyDescent="0.25">
      <c r="A407" s="1">
        <v>419</v>
      </c>
      <c r="B407" s="2">
        <v>45531</v>
      </c>
      <c r="C407">
        <v>0</v>
      </c>
      <c r="D407">
        <v>89105</v>
      </c>
      <c r="E407">
        <v>89789</v>
      </c>
      <c r="F407">
        <v>88760</v>
      </c>
      <c r="G407">
        <v>89600</v>
      </c>
      <c r="H407">
        <v>526971</v>
      </c>
      <c r="I407">
        <v>1267</v>
      </c>
      <c r="J407">
        <v>1</v>
      </c>
      <c r="K407">
        <v>1</v>
      </c>
      <c r="L407">
        <v>428</v>
      </c>
      <c r="M407">
        <v>857</v>
      </c>
      <c r="N407">
        <v>391</v>
      </c>
      <c r="O407">
        <v>0</v>
      </c>
      <c r="P407">
        <v>391</v>
      </c>
    </row>
    <row r="408" spans="1:16" x14ac:dyDescent="0.25">
      <c r="A408" s="1">
        <v>420</v>
      </c>
      <c r="B408" s="2">
        <v>45532</v>
      </c>
      <c r="C408">
        <v>0</v>
      </c>
      <c r="D408">
        <v>89600</v>
      </c>
      <c r="E408">
        <v>89967</v>
      </c>
      <c r="F408">
        <v>88934</v>
      </c>
      <c r="G408">
        <v>89412</v>
      </c>
      <c r="H408">
        <v>522477</v>
      </c>
      <c r="I408">
        <v>1250.29</v>
      </c>
      <c r="J408">
        <v>0</v>
      </c>
      <c r="K408">
        <v>1</v>
      </c>
      <c r="L408">
        <v>422</v>
      </c>
      <c r="M408">
        <v>845</v>
      </c>
      <c r="N408">
        <v>-209</v>
      </c>
      <c r="O408">
        <v>0</v>
      </c>
      <c r="P408">
        <v>-209</v>
      </c>
    </row>
    <row r="409" spans="1:16" x14ac:dyDescent="0.25">
      <c r="A409" s="1">
        <v>421</v>
      </c>
      <c r="B409" s="2">
        <v>45533</v>
      </c>
      <c r="C409">
        <v>0</v>
      </c>
      <c r="D409">
        <v>89413</v>
      </c>
      <c r="E409">
        <v>90125</v>
      </c>
      <c r="F409">
        <v>89303</v>
      </c>
      <c r="G409">
        <v>89977</v>
      </c>
      <c r="H409">
        <v>653571</v>
      </c>
      <c r="I409">
        <v>1219.7</v>
      </c>
      <c r="J409">
        <v>1</v>
      </c>
      <c r="K409">
        <v>0</v>
      </c>
      <c r="L409">
        <v>417</v>
      </c>
      <c r="M409">
        <v>834</v>
      </c>
      <c r="N409">
        <v>0</v>
      </c>
      <c r="O409">
        <v>-527</v>
      </c>
      <c r="P409">
        <v>-527</v>
      </c>
    </row>
    <row r="410" spans="1:16" x14ac:dyDescent="0.25">
      <c r="A410" s="1">
        <v>422</v>
      </c>
      <c r="B410" s="2">
        <v>45534</v>
      </c>
      <c r="C410">
        <v>0</v>
      </c>
      <c r="D410">
        <v>89987</v>
      </c>
      <c r="E410">
        <v>90444</v>
      </c>
      <c r="F410">
        <v>89400</v>
      </c>
      <c r="G410">
        <v>89775</v>
      </c>
      <c r="H410">
        <v>476742</v>
      </c>
      <c r="I410">
        <v>1207.1500000000001</v>
      </c>
      <c r="J410">
        <v>0</v>
      </c>
      <c r="K410">
        <v>1</v>
      </c>
      <c r="L410">
        <v>407</v>
      </c>
      <c r="M410">
        <v>813</v>
      </c>
      <c r="N410">
        <v>-311</v>
      </c>
      <c r="O410">
        <v>0</v>
      </c>
      <c r="P410">
        <v>-311</v>
      </c>
    </row>
    <row r="411" spans="1:16" x14ac:dyDescent="0.25">
      <c r="A411" s="1">
        <v>423</v>
      </c>
      <c r="B411" s="2">
        <v>45537</v>
      </c>
      <c r="C411">
        <v>0</v>
      </c>
      <c r="D411">
        <v>89695</v>
      </c>
      <c r="E411">
        <v>89901</v>
      </c>
      <c r="F411">
        <v>88550</v>
      </c>
      <c r="G411">
        <v>88776</v>
      </c>
      <c r="H411">
        <v>536453</v>
      </c>
      <c r="I411">
        <v>1217.42</v>
      </c>
      <c r="J411">
        <v>0</v>
      </c>
      <c r="K411">
        <v>0</v>
      </c>
      <c r="L411">
        <v>402</v>
      </c>
      <c r="M411">
        <v>805</v>
      </c>
      <c r="N411">
        <v>0</v>
      </c>
      <c r="O411">
        <v>805</v>
      </c>
      <c r="P411">
        <v>805</v>
      </c>
    </row>
    <row r="412" spans="1:16" x14ac:dyDescent="0.25">
      <c r="A412" s="1">
        <v>424</v>
      </c>
      <c r="B412" s="2">
        <v>45538</v>
      </c>
      <c r="C412">
        <v>0</v>
      </c>
      <c r="D412">
        <v>88808</v>
      </c>
      <c r="E412">
        <v>88932</v>
      </c>
      <c r="F412">
        <v>87605</v>
      </c>
      <c r="G412">
        <v>87635</v>
      </c>
      <c r="H412">
        <v>658193</v>
      </c>
      <c r="I412">
        <v>1225.25</v>
      </c>
      <c r="J412">
        <v>0</v>
      </c>
      <c r="K412">
        <v>0</v>
      </c>
      <c r="L412">
        <v>406</v>
      </c>
      <c r="M412">
        <v>812</v>
      </c>
      <c r="N412">
        <v>0</v>
      </c>
      <c r="O412">
        <v>812</v>
      </c>
      <c r="P412">
        <v>812</v>
      </c>
    </row>
    <row r="413" spans="1:16" x14ac:dyDescent="0.25">
      <c r="A413" s="1">
        <v>425</v>
      </c>
      <c r="B413" s="2">
        <v>45539</v>
      </c>
      <c r="C413">
        <v>0</v>
      </c>
      <c r="D413">
        <v>87737</v>
      </c>
      <c r="E413">
        <v>89028</v>
      </c>
      <c r="F413">
        <v>87640</v>
      </c>
      <c r="G413">
        <v>88797</v>
      </c>
      <c r="H413">
        <v>898468</v>
      </c>
      <c r="I413">
        <v>1237.23</v>
      </c>
      <c r="J413">
        <v>1</v>
      </c>
      <c r="K413">
        <v>0</v>
      </c>
      <c r="L413">
        <v>408</v>
      </c>
      <c r="M413">
        <v>817</v>
      </c>
      <c r="N413">
        <v>0</v>
      </c>
      <c r="O413">
        <v>408</v>
      </c>
      <c r="P413">
        <v>408</v>
      </c>
    </row>
    <row r="414" spans="1:16" x14ac:dyDescent="0.25">
      <c r="A414" s="1">
        <v>426</v>
      </c>
      <c r="B414" s="2">
        <v>45540</v>
      </c>
      <c r="C414">
        <v>0</v>
      </c>
      <c r="D414">
        <v>88803</v>
      </c>
      <c r="E414">
        <v>89150</v>
      </c>
      <c r="F414">
        <v>88129</v>
      </c>
      <c r="G414">
        <v>88415</v>
      </c>
      <c r="H414">
        <v>648170</v>
      </c>
      <c r="I414">
        <v>1221.79</v>
      </c>
      <c r="J414">
        <v>0</v>
      </c>
      <c r="K414">
        <v>1</v>
      </c>
      <c r="L414">
        <v>412</v>
      </c>
      <c r="M414">
        <v>825</v>
      </c>
      <c r="N414">
        <v>412</v>
      </c>
      <c r="O414">
        <v>0</v>
      </c>
      <c r="P414">
        <v>412</v>
      </c>
    </row>
    <row r="415" spans="1:16" x14ac:dyDescent="0.25">
      <c r="A415" s="1">
        <v>427</v>
      </c>
      <c r="B415" s="2">
        <v>45541</v>
      </c>
      <c r="C415">
        <v>0</v>
      </c>
      <c r="D415">
        <v>88400</v>
      </c>
      <c r="E415">
        <v>89438</v>
      </c>
      <c r="F415">
        <v>88270</v>
      </c>
      <c r="G415">
        <v>89244</v>
      </c>
      <c r="H415">
        <v>544247</v>
      </c>
      <c r="I415">
        <v>1217.95</v>
      </c>
      <c r="J415">
        <v>1</v>
      </c>
      <c r="K415">
        <v>0</v>
      </c>
      <c r="L415">
        <v>407</v>
      </c>
      <c r="M415">
        <v>815</v>
      </c>
      <c r="N415">
        <v>0</v>
      </c>
      <c r="O415">
        <v>407</v>
      </c>
      <c r="P415">
        <v>407</v>
      </c>
    </row>
    <row r="416" spans="1:16" x14ac:dyDescent="0.25">
      <c r="A416" s="1">
        <v>428</v>
      </c>
      <c r="B416" s="2">
        <v>45544</v>
      </c>
      <c r="C416">
        <v>0</v>
      </c>
      <c r="D416">
        <v>89273</v>
      </c>
      <c r="E416">
        <v>90200</v>
      </c>
      <c r="F416">
        <v>89214</v>
      </c>
      <c r="G416">
        <v>90161</v>
      </c>
      <c r="H416">
        <v>426061</v>
      </c>
      <c r="I416">
        <v>1201.3800000000001</v>
      </c>
      <c r="J416">
        <v>1</v>
      </c>
      <c r="K416">
        <v>1</v>
      </c>
      <c r="L416">
        <v>406</v>
      </c>
      <c r="M416">
        <v>812</v>
      </c>
      <c r="N416">
        <v>812</v>
      </c>
      <c r="O416">
        <v>0</v>
      </c>
      <c r="P416">
        <v>812</v>
      </c>
    </row>
    <row r="417" spans="1:16" x14ac:dyDescent="0.25">
      <c r="A417" s="1">
        <v>429</v>
      </c>
      <c r="B417" s="2">
        <v>45545</v>
      </c>
      <c r="C417">
        <v>0</v>
      </c>
      <c r="D417">
        <v>90177</v>
      </c>
      <c r="E417">
        <v>90650</v>
      </c>
      <c r="F417">
        <v>89925</v>
      </c>
      <c r="G417">
        <v>90408</v>
      </c>
      <c r="H417">
        <v>392813</v>
      </c>
      <c r="I417">
        <v>1167.3499999999999</v>
      </c>
      <c r="J417">
        <v>1</v>
      </c>
      <c r="K417">
        <v>1</v>
      </c>
      <c r="L417">
        <v>400</v>
      </c>
      <c r="M417">
        <v>801</v>
      </c>
      <c r="N417">
        <v>239</v>
      </c>
      <c r="O417">
        <v>0</v>
      </c>
      <c r="P417">
        <v>239</v>
      </c>
    </row>
    <row r="418" spans="1:16" x14ac:dyDescent="0.25">
      <c r="A418" s="1">
        <v>430</v>
      </c>
      <c r="B418" s="2">
        <v>45546</v>
      </c>
      <c r="C418">
        <v>0</v>
      </c>
      <c r="D418">
        <v>90384</v>
      </c>
      <c r="E418">
        <v>90578</v>
      </c>
      <c r="F418">
        <v>89531</v>
      </c>
      <c r="G418">
        <v>89876</v>
      </c>
      <c r="H418">
        <v>608029</v>
      </c>
      <c r="I418">
        <v>1158.75</v>
      </c>
      <c r="J418">
        <v>0</v>
      </c>
      <c r="K418">
        <v>1</v>
      </c>
      <c r="L418">
        <v>389</v>
      </c>
      <c r="M418">
        <v>778</v>
      </c>
      <c r="N418">
        <v>389</v>
      </c>
      <c r="O418">
        <v>0</v>
      </c>
      <c r="P418">
        <v>389</v>
      </c>
    </row>
    <row r="419" spans="1:16" x14ac:dyDescent="0.25">
      <c r="A419" s="1">
        <v>431</v>
      </c>
      <c r="B419" s="2">
        <v>45547</v>
      </c>
      <c r="C419">
        <v>0</v>
      </c>
      <c r="D419">
        <v>89907</v>
      </c>
      <c r="E419">
        <v>90500</v>
      </c>
      <c r="F419">
        <v>89876</v>
      </c>
      <c r="G419">
        <v>90272</v>
      </c>
      <c r="H419">
        <v>386823</v>
      </c>
      <c r="I419">
        <v>1120.56</v>
      </c>
      <c r="J419">
        <v>1</v>
      </c>
      <c r="K419">
        <v>0</v>
      </c>
      <c r="L419">
        <v>386</v>
      </c>
      <c r="M419">
        <v>772</v>
      </c>
      <c r="N419">
        <v>0</v>
      </c>
      <c r="O419">
        <v>-348</v>
      </c>
      <c r="P419">
        <v>-348</v>
      </c>
    </row>
    <row r="420" spans="1:16" x14ac:dyDescent="0.25">
      <c r="A420" s="1">
        <v>432</v>
      </c>
      <c r="B420" s="2">
        <v>45548</v>
      </c>
      <c r="C420">
        <v>0</v>
      </c>
      <c r="D420">
        <v>90272</v>
      </c>
      <c r="E420">
        <v>90549</v>
      </c>
      <c r="F420">
        <v>89710</v>
      </c>
      <c r="G420">
        <v>90470</v>
      </c>
      <c r="H420">
        <v>395236</v>
      </c>
      <c r="I420">
        <v>1100.45</v>
      </c>
      <c r="J420">
        <v>1</v>
      </c>
      <c r="K420">
        <v>1</v>
      </c>
      <c r="L420">
        <v>374</v>
      </c>
      <c r="M420">
        <v>747</v>
      </c>
      <c r="N420">
        <v>146</v>
      </c>
      <c r="O420">
        <v>0</v>
      </c>
      <c r="P420">
        <v>146</v>
      </c>
    </row>
    <row r="421" spans="1:16" x14ac:dyDescent="0.25">
      <c r="A421" s="1">
        <v>433</v>
      </c>
      <c r="B421" s="2">
        <v>45551</v>
      </c>
      <c r="C421">
        <v>0</v>
      </c>
      <c r="D421">
        <v>90460</v>
      </c>
      <c r="E421">
        <v>91398</v>
      </c>
      <c r="F421">
        <v>90423</v>
      </c>
      <c r="G421">
        <v>91153</v>
      </c>
      <c r="H421">
        <v>471370</v>
      </c>
      <c r="I421">
        <v>1091.49</v>
      </c>
      <c r="J421">
        <v>1</v>
      </c>
      <c r="K421">
        <v>1</v>
      </c>
      <c r="L421">
        <v>367</v>
      </c>
      <c r="M421">
        <v>734</v>
      </c>
      <c r="N421">
        <v>639</v>
      </c>
      <c r="O421">
        <v>0</v>
      </c>
      <c r="P421">
        <v>639</v>
      </c>
    </row>
    <row r="422" spans="1:16" x14ac:dyDescent="0.25">
      <c r="A422" s="1">
        <v>434</v>
      </c>
      <c r="B422" s="2">
        <v>45552</v>
      </c>
      <c r="C422">
        <v>0</v>
      </c>
      <c r="D422">
        <v>91131</v>
      </c>
      <c r="E422">
        <v>91296</v>
      </c>
      <c r="F422">
        <v>90450</v>
      </c>
      <c r="G422">
        <v>90850</v>
      </c>
      <c r="H422">
        <v>483742</v>
      </c>
      <c r="I422">
        <v>1073.95</v>
      </c>
      <c r="J422">
        <v>0</v>
      </c>
      <c r="K422">
        <v>1</v>
      </c>
      <c r="L422">
        <v>364</v>
      </c>
      <c r="M422">
        <v>728</v>
      </c>
      <c r="N422">
        <v>-272</v>
      </c>
      <c r="O422">
        <v>0</v>
      </c>
      <c r="P422">
        <v>-272</v>
      </c>
    </row>
    <row r="423" spans="1:16" x14ac:dyDescent="0.25">
      <c r="A423" s="1">
        <v>435</v>
      </c>
      <c r="B423" s="2">
        <v>45553</v>
      </c>
      <c r="C423">
        <v>0</v>
      </c>
      <c r="D423">
        <v>91936</v>
      </c>
      <c r="E423">
        <v>92280</v>
      </c>
      <c r="F423">
        <v>91001</v>
      </c>
      <c r="G423">
        <v>91550</v>
      </c>
      <c r="H423">
        <v>427434</v>
      </c>
      <c r="I423">
        <v>1099.3800000000001</v>
      </c>
      <c r="J423">
        <v>0</v>
      </c>
      <c r="K423">
        <v>0</v>
      </c>
      <c r="L423">
        <v>358</v>
      </c>
      <c r="M423">
        <v>716</v>
      </c>
      <c r="N423">
        <v>0</v>
      </c>
      <c r="O423">
        <v>429</v>
      </c>
      <c r="P423">
        <v>429</v>
      </c>
    </row>
    <row r="424" spans="1:16" x14ac:dyDescent="0.25">
      <c r="A424" s="1">
        <v>436</v>
      </c>
      <c r="B424" s="2">
        <v>45554</v>
      </c>
      <c r="C424">
        <v>0</v>
      </c>
      <c r="D424">
        <v>91531</v>
      </c>
      <c r="E424">
        <v>92139</v>
      </c>
      <c r="F424">
        <v>91144</v>
      </c>
      <c r="G424">
        <v>91438</v>
      </c>
      <c r="H424">
        <v>640932</v>
      </c>
      <c r="I424">
        <v>1091.93</v>
      </c>
      <c r="J424">
        <v>0</v>
      </c>
      <c r="K424">
        <v>0</v>
      </c>
      <c r="L424">
        <v>366</v>
      </c>
      <c r="M424">
        <v>733</v>
      </c>
      <c r="N424">
        <v>0</v>
      </c>
      <c r="O424">
        <v>131</v>
      </c>
      <c r="P424">
        <v>131</v>
      </c>
    </row>
    <row r="425" spans="1:16" x14ac:dyDescent="0.25">
      <c r="A425" s="1">
        <v>437</v>
      </c>
      <c r="B425" s="2">
        <v>45555</v>
      </c>
      <c r="C425">
        <v>0</v>
      </c>
      <c r="D425">
        <v>91459</v>
      </c>
      <c r="E425">
        <v>92830</v>
      </c>
      <c r="F425">
        <v>91190</v>
      </c>
      <c r="G425">
        <v>92670</v>
      </c>
      <c r="H425">
        <v>665648</v>
      </c>
      <c r="I425">
        <v>1131.08</v>
      </c>
      <c r="J425">
        <v>1</v>
      </c>
      <c r="K425">
        <v>0</v>
      </c>
      <c r="L425">
        <v>364</v>
      </c>
      <c r="M425">
        <v>728</v>
      </c>
      <c r="N425">
        <v>0</v>
      </c>
      <c r="O425">
        <v>364</v>
      </c>
      <c r="P425">
        <v>364</v>
      </c>
    </row>
    <row r="426" spans="1:16" x14ac:dyDescent="0.25">
      <c r="A426" s="1">
        <v>438</v>
      </c>
      <c r="B426" s="2">
        <v>45558</v>
      </c>
      <c r="C426">
        <v>0</v>
      </c>
      <c r="D426">
        <v>92670</v>
      </c>
      <c r="E426">
        <v>92850</v>
      </c>
      <c r="F426">
        <v>92114</v>
      </c>
      <c r="G426">
        <v>92530</v>
      </c>
      <c r="H426">
        <v>366280</v>
      </c>
      <c r="I426">
        <v>1102.8599999999999</v>
      </c>
      <c r="J426">
        <v>0</v>
      </c>
      <c r="K426">
        <v>1</v>
      </c>
      <c r="L426">
        <v>377</v>
      </c>
      <c r="M426">
        <v>754</v>
      </c>
      <c r="N426">
        <v>-100</v>
      </c>
      <c r="O426">
        <v>0</v>
      </c>
      <c r="P426">
        <v>-100</v>
      </c>
    </row>
    <row r="427" spans="1:16" x14ac:dyDescent="0.25">
      <c r="A427" s="1">
        <v>439</v>
      </c>
      <c r="B427" s="2">
        <v>45559</v>
      </c>
      <c r="C427">
        <v>0</v>
      </c>
      <c r="D427">
        <v>92531</v>
      </c>
      <c r="E427">
        <v>92850</v>
      </c>
      <c r="F427">
        <v>91545</v>
      </c>
      <c r="G427">
        <v>91583</v>
      </c>
      <c r="H427">
        <v>557165</v>
      </c>
      <c r="I427">
        <v>1117.29</v>
      </c>
      <c r="J427">
        <v>0</v>
      </c>
      <c r="K427">
        <v>0</v>
      </c>
      <c r="L427">
        <v>368</v>
      </c>
      <c r="M427">
        <v>735</v>
      </c>
      <c r="N427">
        <v>0</v>
      </c>
      <c r="O427">
        <v>735</v>
      </c>
      <c r="P427">
        <v>735</v>
      </c>
    </row>
    <row r="428" spans="1:16" x14ac:dyDescent="0.25">
      <c r="A428" s="1">
        <v>440</v>
      </c>
      <c r="B428" s="2">
        <v>45560</v>
      </c>
      <c r="C428">
        <v>0</v>
      </c>
      <c r="D428">
        <v>91618</v>
      </c>
      <c r="E428">
        <v>92099</v>
      </c>
      <c r="F428">
        <v>91160</v>
      </c>
      <c r="G428">
        <v>91858</v>
      </c>
      <c r="H428">
        <v>356389</v>
      </c>
      <c r="I428">
        <v>1104.56</v>
      </c>
      <c r="J428">
        <v>1</v>
      </c>
      <c r="K428">
        <v>0</v>
      </c>
      <c r="L428">
        <v>372</v>
      </c>
      <c r="M428">
        <v>745</v>
      </c>
      <c r="N428">
        <v>0</v>
      </c>
      <c r="O428">
        <v>-284</v>
      </c>
      <c r="P428">
        <v>-284</v>
      </c>
    </row>
    <row r="429" spans="1:16" x14ac:dyDescent="0.25">
      <c r="A429" s="1">
        <v>441</v>
      </c>
      <c r="B429" s="2">
        <v>45561</v>
      </c>
      <c r="C429">
        <v>0</v>
      </c>
      <c r="D429">
        <v>91839</v>
      </c>
      <c r="E429">
        <v>92404</v>
      </c>
      <c r="F429">
        <v>91609</v>
      </c>
      <c r="G429">
        <v>92258</v>
      </c>
      <c r="H429">
        <v>387517</v>
      </c>
      <c r="I429">
        <v>1082.45</v>
      </c>
      <c r="J429">
        <v>1</v>
      </c>
      <c r="K429">
        <v>1</v>
      </c>
      <c r="L429">
        <v>368</v>
      </c>
      <c r="M429">
        <v>736</v>
      </c>
      <c r="N429">
        <v>423</v>
      </c>
      <c r="O429">
        <v>0</v>
      </c>
      <c r="P429">
        <v>423</v>
      </c>
    </row>
    <row r="430" spans="1:16" x14ac:dyDescent="0.25">
      <c r="A430" s="1">
        <v>442</v>
      </c>
      <c r="B430" s="2">
        <v>45562</v>
      </c>
      <c r="C430">
        <v>0</v>
      </c>
      <c r="D430">
        <v>92258</v>
      </c>
      <c r="E430">
        <v>92800</v>
      </c>
      <c r="F430">
        <v>92200</v>
      </c>
      <c r="G430">
        <v>92740</v>
      </c>
      <c r="H430">
        <v>375520</v>
      </c>
      <c r="I430">
        <v>1047.99</v>
      </c>
      <c r="J430">
        <v>1</v>
      </c>
      <c r="K430">
        <v>1</v>
      </c>
      <c r="L430">
        <v>361</v>
      </c>
      <c r="M430">
        <v>722</v>
      </c>
      <c r="N430">
        <v>452</v>
      </c>
      <c r="O430">
        <v>0</v>
      </c>
      <c r="P430">
        <v>452</v>
      </c>
    </row>
    <row r="431" spans="1:16" x14ac:dyDescent="0.25">
      <c r="A431" s="1">
        <v>443</v>
      </c>
      <c r="B431" s="2">
        <v>45565</v>
      </c>
      <c r="C431">
        <v>0</v>
      </c>
      <c r="D431">
        <v>92747</v>
      </c>
      <c r="E431">
        <v>93100</v>
      </c>
      <c r="F431">
        <v>92565</v>
      </c>
      <c r="G431">
        <v>93031</v>
      </c>
      <c r="H431">
        <v>390031</v>
      </c>
      <c r="I431">
        <v>1011.35</v>
      </c>
      <c r="J431">
        <v>1</v>
      </c>
      <c r="K431">
        <v>1</v>
      </c>
      <c r="L431">
        <v>349</v>
      </c>
      <c r="M431">
        <v>699</v>
      </c>
      <c r="N431">
        <v>286</v>
      </c>
      <c r="O431">
        <v>0</v>
      </c>
      <c r="P431">
        <v>286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B18F5A-9464-487D-B220-8943EFB013D8}">
  <dimension ref="A1:N20"/>
  <sheetViews>
    <sheetView tabSelected="1" workbookViewId="0"/>
  </sheetViews>
  <sheetFormatPr defaultRowHeight="15" x14ac:dyDescent="0.25"/>
  <cols>
    <col min="1" max="1" width="3.140625" bestFit="1" customWidth="1"/>
    <col min="2" max="2" width="10.140625" bestFit="1" customWidth="1"/>
    <col min="3" max="3" width="9.42578125" style="5" bestFit="1" customWidth="1"/>
    <col min="4" max="4" width="7.7109375" style="4" bestFit="1" customWidth="1"/>
    <col min="5" max="5" width="7.140625" style="4" bestFit="1" customWidth="1"/>
    <col min="7" max="7" width="10.7109375" style="4" bestFit="1" customWidth="1"/>
    <col min="8" max="9" width="7.85546875" style="4" bestFit="1" customWidth="1"/>
    <col min="10" max="10" width="12.140625" style="4" bestFit="1" customWidth="1"/>
    <col min="11" max="11" width="16" style="4" bestFit="1" customWidth="1"/>
  </cols>
  <sheetData>
    <row r="1" spans="1:14" x14ac:dyDescent="0.25">
      <c r="A1" t="s">
        <v>15</v>
      </c>
      <c r="B1" t="s">
        <v>16</v>
      </c>
      <c r="C1" s="5" t="s">
        <v>7</v>
      </c>
      <c r="D1" s="4" t="s">
        <v>17</v>
      </c>
      <c r="E1" s="4" t="s">
        <v>18</v>
      </c>
      <c r="F1" t="s">
        <v>19</v>
      </c>
      <c r="G1" s="4" t="s">
        <v>20</v>
      </c>
      <c r="H1" s="4" t="s">
        <v>21</v>
      </c>
      <c r="I1" s="4" t="s">
        <v>22</v>
      </c>
      <c r="J1" s="4" t="s">
        <v>23</v>
      </c>
      <c r="K1" s="4" t="s">
        <v>24</v>
      </c>
      <c r="M1" s="4" t="s">
        <v>27</v>
      </c>
      <c r="N1" s="6">
        <f>SUM(K:K)</f>
        <v>2524</v>
      </c>
    </row>
    <row r="2" spans="1:14" x14ac:dyDescent="0.25">
      <c r="A2">
        <v>1</v>
      </c>
      <c r="B2" s="3">
        <v>45566</v>
      </c>
      <c r="C2" s="5">
        <v>1010.59</v>
      </c>
      <c r="D2" s="4">
        <f>ROUND(C2/3,0)</f>
        <v>337</v>
      </c>
      <c r="E2" s="4">
        <f>ROUND(C2*2/3,0)</f>
        <v>674</v>
      </c>
      <c r="F2" t="s">
        <v>25</v>
      </c>
      <c r="G2" s="4">
        <v>93033</v>
      </c>
      <c r="H2" s="4">
        <f>IF(F2="long",G2-D2,G2+D2)</f>
        <v>92696</v>
      </c>
      <c r="I2" s="4">
        <f>IF(F2="long",G2+E2,G2-E2)</f>
        <v>93707</v>
      </c>
      <c r="J2" s="4">
        <v>93707</v>
      </c>
      <c r="K2" s="4">
        <f>IF(J2=0,0,IF(F2="long",J2-G2,G2-J2))</f>
        <v>674</v>
      </c>
      <c r="N2" s="6">
        <f>N1*4</f>
        <v>10096</v>
      </c>
    </row>
    <row r="3" spans="1:14" x14ac:dyDescent="0.25">
      <c r="A3">
        <v>2</v>
      </c>
      <c r="B3" s="3">
        <v>45567</v>
      </c>
      <c r="C3" s="5">
        <v>1012.69</v>
      </c>
      <c r="D3" s="4">
        <f t="shared" ref="D3:D20" si="0">ROUND(C3/3,0)</f>
        <v>338</v>
      </c>
      <c r="E3" s="4">
        <f t="shared" ref="E3:E20" si="1">ROUND(C3*2/3,0)</f>
        <v>675</v>
      </c>
      <c r="F3" t="s">
        <v>25</v>
      </c>
      <c r="G3" s="4">
        <v>93701</v>
      </c>
      <c r="H3" s="4">
        <f t="shared" ref="H3:H20" si="2">IF(F3="long",G3-D3,G3+D3)</f>
        <v>93363</v>
      </c>
      <c r="I3" s="4">
        <f t="shared" ref="I3:I20" si="3">IF(F3="long",G3+E3,G3-E3)</f>
        <v>94376</v>
      </c>
      <c r="J3" s="4">
        <v>94376</v>
      </c>
      <c r="K3" s="4">
        <f t="shared" ref="K3:K20" si="4">IF(J3=0,0,IF(F3="long",J3-G3,G3-J3))</f>
        <v>675</v>
      </c>
      <c r="N3" s="6">
        <f>N1*8</f>
        <v>20192</v>
      </c>
    </row>
    <row r="4" spans="1:14" x14ac:dyDescent="0.25">
      <c r="A4">
        <v>3</v>
      </c>
      <c r="B4" s="3">
        <v>45568</v>
      </c>
      <c r="C4" s="5">
        <v>1002.5</v>
      </c>
      <c r="D4" s="4">
        <f t="shared" si="0"/>
        <v>334</v>
      </c>
      <c r="E4" s="4">
        <f t="shared" si="1"/>
        <v>668</v>
      </c>
      <c r="F4" t="s">
        <v>25</v>
      </c>
      <c r="G4" s="4">
        <v>94400</v>
      </c>
      <c r="H4" s="4">
        <f t="shared" si="2"/>
        <v>94066</v>
      </c>
      <c r="I4" s="4">
        <f t="shared" si="3"/>
        <v>95068</v>
      </c>
      <c r="J4" s="4">
        <v>94066</v>
      </c>
      <c r="K4" s="4">
        <f t="shared" si="4"/>
        <v>-334</v>
      </c>
    </row>
    <row r="5" spans="1:14" x14ac:dyDescent="0.25">
      <c r="A5">
        <v>4</v>
      </c>
      <c r="B5" s="3">
        <v>45569</v>
      </c>
      <c r="C5" s="5">
        <v>988.82</v>
      </c>
      <c r="D5" s="4">
        <f t="shared" si="0"/>
        <v>330</v>
      </c>
      <c r="E5" s="4">
        <f t="shared" si="1"/>
        <v>659</v>
      </c>
      <c r="F5" t="s">
        <v>26</v>
      </c>
      <c r="G5" s="4">
        <v>94300</v>
      </c>
      <c r="H5" s="4">
        <f t="shared" si="2"/>
        <v>94630</v>
      </c>
      <c r="I5" s="4">
        <f t="shared" si="3"/>
        <v>93641</v>
      </c>
      <c r="J5" s="4">
        <v>94630</v>
      </c>
      <c r="K5" s="4">
        <f t="shared" si="4"/>
        <v>-330</v>
      </c>
    </row>
    <row r="6" spans="1:14" x14ac:dyDescent="0.25">
      <c r="A6">
        <v>5</v>
      </c>
      <c r="B6" s="3">
        <v>45572</v>
      </c>
      <c r="C6" s="5">
        <v>997.69</v>
      </c>
      <c r="D6" s="4">
        <f t="shared" si="0"/>
        <v>333</v>
      </c>
      <c r="E6" s="4">
        <f t="shared" si="1"/>
        <v>665</v>
      </c>
      <c r="F6" t="s">
        <v>25</v>
      </c>
      <c r="G6" s="4">
        <v>94645</v>
      </c>
      <c r="H6" s="4">
        <f t="shared" si="2"/>
        <v>94312</v>
      </c>
      <c r="I6" s="4">
        <f t="shared" si="3"/>
        <v>95310</v>
      </c>
      <c r="J6" s="4">
        <v>95310</v>
      </c>
      <c r="K6" s="4">
        <f t="shared" si="4"/>
        <v>665</v>
      </c>
    </row>
    <row r="7" spans="1:14" x14ac:dyDescent="0.25">
      <c r="A7">
        <v>6</v>
      </c>
      <c r="B7" s="3">
        <v>45573</v>
      </c>
      <c r="C7" s="5">
        <v>1011.07</v>
      </c>
      <c r="D7" s="4">
        <f t="shared" si="0"/>
        <v>337</v>
      </c>
      <c r="E7" s="4">
        <f t="shared" si="1"/>
        <v>674</v>
      </c>
      <c r="F7" t="s">
        <v>25</v>
      </c>
      <c r="G7" s="4">
        <v>95554</v>
      </c>
      <c r="H7" s="4">
        <f t="shared" si="2"/>
        <v>95217</v>
      </c>
      <c r="I7" s="4">
        <f t="shared" si="3"/>
        <v>96228</v>
      </c>
      <c r="J7" s="4">
        <v>95217</v>
      </c>
      <c r="K7" s="4">
        <f t="shared" si="4"/>
        <v>-337</v>
      </c>
    </row>
    <row r="8" spans="1:14" x14ac:dyDescent="0.25">
      <c r="A8">
        <v>7</v>
      </c>
      <c r="B8" s="3">
        <v>45574</v>
      </c>
      <c r="C8" s="5">
        <v>1006.42</v>
      </c>
      <c r="D8" s="4">
        <f t="shared" si="0"/>
        <v>335</v>
      </c>
      <c r="E8" s="4">
        <f t="shared" si="1"/>
        <v>671</v>
      </c>
      <c r="F8" t="s">
        <v>25</v>
      </c>
      <c r="G8" s="4">
        <v>95850</v>
      </c>
      <c r="H8" s="4">
        <f t="shared" si="2"/>
        <v>95515</v>
      </c>
      <c r="I8" s="4">
        <f t="shared" si="3"/>
        <v>96521</v>
      </c>
      <c r="J8" s="4">
        <v>95994</v>
      </c>
      <c r="K8" s="4">
        <f t="shared" si="4"/>
        <v>144</v>
      </c>
    </row>
    <row r="9" spans="1:14" x14ac:dyDescent="0.25">
      <c r="A9">
        <v>8</v>
      </c>
      <c r="B9" s="3">
        <v>45575</v>
      </c>
      <c r="C9" s="5">
        <v>993.61</v>
      </c>
      <c r="D9" s="4">
        <f t="shared" si="0"/>
        <v>331</v>
      </c>
      <c r="E9" s="4">
        <f t="shared" si="1"/>
        <v>662</v>
      </c>
      <c r="F9" t="s">
        <v>25</v>
      </c>
      <c r="G9" s="4">
        <v>96024</v>
      </c>
      <c r="H9" s="4">
        <f t="shared" si="2"/>
        <v>95693</v>
      </c>
      <c r="I9" s="4">
        <f t="shared" si="3"/>
        <v>96686</v>
      </c>
      <c r="J9" s="4">
        <v>95693</v>
      </c>
      <c r="K9" s="4">
        <f t="shared" si="4"/>
        <v>-331</v>
      </c>
    </row>
    <row r="10" spans="1:14" x14ac:dyDescent="0.25">
      <c r="A10">
        <v>9</v>
      </c>
      <c r="B10" s="3">
        <v>45576</v>
      </c>
      <c r="C10" s="5">
        <v>1011.92</v>
      </c>
      <c r="D10" s="4">
        <f t="shared" si="0"/>
        <v>337</v>
      </c>
      <c r="E10" s="4">
        <f t="shared" si="1"/>
        <v>675</v>
      </c>
      <c r="F10" t="s">
        <v>26</v>
      </c>
      <c r="G10" s="4">
        <v>95161</v>
      </c>
      <c r="H10" s="4">
        <f t="shared" si="2"/>
        <v>95498</v>
      </c>
      <c r="I10" s="4">
        <f t="shared" si="3"/>
        <v>94486</v>
      </c>
      <c r="J10" s="4">
        <v>94486</v>
      </c>
      <c r="K10" s="4">
        <f t="shared" si="4"/>
        <v>675</v>
      </c>
    </row>
    <row r="11" spans="1:14" x14ac:dyDescent="0.25">
      <c r="A11">
        <v>10</v>
      </c>
      <c r="B11" s="3">
        <v>45579</v>
      </c>
      <c r="C11" s="5">
        <v>1026.57</v>
      </c>
      <c r="D11" s="4">
        <f t="shared" si="0"/>
        <v>342</v>
      </c>
      <c r="E11" s="4">
        <f t="shared" si="1"/>
        <v>684</v>
      </c>
      <c r="F11" t="s">
        <v>26</v>
      </c>
      <c r="G11" s="4">
        <v>94961</v>
      </c>
      <c r="H11" s="4">
        <f t="shared" si="2"/>
        <v>95303</v>
      </c>
      <c r="I11" s="4">
        <f t="shared" si="3"/>
        <v>94277</v>
      </c>
      <c r="J11" s="4">
        <v>95026</v>
      </c>
      <c r="K11" s="4">
        <f t="shared" si="4"/>
        <v>-65</v>
      </c>
    </row>
    <row r="12" spans="1:14" x14ac:dyDescent="0.25">
      <c r="A12">
        <v>11</v>
      </c>
      <c r="B12" s="3">
        <v>45580</v>
      </c>
      <c r="C12" s="5">
        <v>1013.39</v>
      </c>
      <c r="D12" s="4">
        <f t="shared" si="0"/>
        <v>338</v>
      </c>
      <c r="E12" s="4">
        <f t="shared" si="1"/>
        <v>676</v>
      </c>
      <c r="F12" t="s">
        <v>25</v>
      </c>
      <c r="G12" s="4">
        <v>95080</v>
      </c>
      <c r="H12" s="4">
        <f t="shared" si="2"/>
        <v>94742</v>
      </c>
      <c r="I12" s="4">
        <f t="shared" si="3"/>
        <v>95756</v>
      </c>
      <c r="J12" s="4">
        <v>95756</v>
      </c>
      <c r="K12" s="4">
        <f t="shared" si="4"/>
        <v>676</v>
      </c>
    </row>
    <row r="13" spans="1:14" x14ac:dyDescent="0.25">
      <c r="A13">
        <v>12</v>
      </c>
      <c r="B13" s="3">
        <v>45581</v>
      </c>
      <c r="C13" s="5">
        <v>1063.5</v>
      </c>
      <c r="D13" s="4">
        <f t="shared" si="0"/>
        <v>355</v>
      </c>
      <c r="E13" s="4">
        <f t="shared" si="1"/>
        <v>709</v>
      </c>
      <c r="F13" t="s">
        <v>25</v>
      </c>
      <c r="G13" s="4">
        <v>96600</v>
      </c>
      <c r="H13" s="4">
        <f t="shared" si="2"/>
        <v>96245</v>
      </c>
      <c r="I13" s="4">
        <f t="shared" si="3"/>
        <v>97309</v>
      </c>
      <c r="J13" s="4">
        <v>96245</v>
      </c>
      <c r="K13" s="4">
        <f t="shared" si="4"/>
        <v>-355</v>
      </c>
    </row>
    <row r="14" spans="1:14" x14ac:dyDescent="0.25">
      <c r="A14">
        <v>13</v>
      </c>
      <c r="B14" s="3">
        <v>45582</v>
      </c>
      <c r="C14" s="5">
        <v>1083.1099999999999</v>
      </c>
      <c r="D14" s="4">
        <f t="shared" si="0"/>
        <v>361</v>
      </c>
      <c r="E14" s="4">
        <f t="shared" si="1"/>
        <v>722</v>
      </c>
      <c r="F14" t="s">
        <v>26</v>
      </c>
      <c r="G14" s="4">
        <v>96096</v>
      </c>
      <c r="H14" s="4">
        <f t="shared" si="2"/>
        <v>96457</v>
      </c>
      <c r="I14" s="4">
        <f t="shared" si="3"/>
        <v>95374</v>
      </c>
      <c r="J14" s="4">
        <v>95374</v>
      </c>
      <c r="K14" s="4">
        <f t="shared" si="4"/>
        <v>722</v>
      </c>
    </row>
    <row r="15" spans="1:14" x14ac:dyDescent="0.25">
      <c r="A15">
        <v>14</v>
      </c>
      <c r="B15" s="3">
        <v>45583</v>
      </c>
      <c r="C15" s="5">
        <v>1096.3900000000001</v>
      </c>
      <c r="D15" s="4">
        <f t="shared" si="0"/>
        <v>365</v>
      </c>
      <c r="E15" s="4">
        <f t="shared" si="1"/>
        <v>731</v>
      </c>
      <c r="F15" t="s">
        <v>26</v>
      </c>
      <c r="G15" s="4">
        <v>95383</v>
      </c>
      <c r="H15" s="4">
        <f t="shared" si="2"/>
        <v>95748</v>
      </c>
      <c r="I15" s="4">
        <f t="shared" si="3"/>
        <v>94652</v>
      </c>
      <c r="J15" s="4">
        <v>94652</v>
      </c>
      <c r="K15" s="4">
        <f t="shared" si="4"/>
        <v>731</v>
      </c>
    </row>
    <row r="16" spans="1:14" x14ac:dyDescent="0.25">
      <c r="A16">
        <v>15</v>
      </c>
      <c r="B16" s="3">
        <v>45586</v>
      </c>
      <c r="C16" s="5">
        <v>1093.1500000000001</v>
      </c>
      <c r="D16" s="4">
        <f t="shared" si="0"/>
        <v>364</v>
      </c>
      <c r="E16" s="4">
        <f t="shared" si="1"/>
        <v>729</v>
      </c>
      <c r="F16" t="s">
        <v>26</v>
      </c>
      <c r="G16" s="4">
        <v>94499</v>
      </c>
      <c r="H16" s="4">
        <f t="shared" si="2"/>
        <v>94863</v>
      </c>
      <c r="I16" s="4">
        <f t="shared" si="3"/>
        <v>93770</v>
      </c>
      <c r="J16" s="4">
        <v>94863</v>
      </c>
      <c r="K16" s="4">
        <f t="shared" si="4"/>
        <v>-364</v>
      </c>
    </row>
    <row r="17" spans="1:11" x14ac:dyDescent="0.25">
      <c r="A17">
        <v>16</v>
      </c>
      <c r="B17" s="3">
        <v>45587</v>
      </c>
      <c r="C17" s="5">
        <v>1090.56</v>
      </c>
      <c r="D17" s="4">
        <f t="shared" si="0"/>
        <v>364</v>
      </c>
      <c r="E17" s="4">
        <f t="shared" si="1"/>
        <v>727</v>
      </c>
      <c r="F17" t="s">
        <v>25</v>
      </c>
      <c r="G17" s="4">
        <v>95218</v>
      </c>
      <c r="H17" s="4">
        <f t="shared" si="2"/>
        <v>94854</v>
      </c>
      <c r="I17" s="4">
        <f t="shared" si="3"/>
        <v>95945</v>
      </c>
      <c r="J17" s="4">
        <v>95945</v>
      </c>
      <c r="K17" s="4">
        <f t="shared" si="4"/>
        <v>727</v>
      </c>
    </row>
    <row r="18" spans="1:11" x14ac:dyDescent="0.25">
      <c r="A18">
        <v>17</v>
      </c>
      <c r="B18" s="3">
        <v>45588</v>
      </c>
      <c r="C18" s="5">
        <v>1069.52</v>
      </c>
      <c r="D18" s="4">
        <f t="shared" si="0"/>
        <v>357</v>
      </c>
      <c r="E18" s="4">
        <f t="shared" si="1"/>
        <v>713</v>
      </c>
      <c r="F18" t="s">
        <v>25</v>
      </c>
      <c r="G18" s="4">
        <v>95851</v>
      </c>
      <c r="H18" s="4">
        <f t="shared" si="2"/>
        <v>95494</v>
      </c>
      <c r="I18" s="4">
        <f t="shared" si="3"/>
        <v>96564</v>
      </c>
      <c r="J18" s="4">
        <v>95494</v>
      </c>
      <c r="K18" s="4">
        <f t="shared" si="4"/>
        <v>-357</v>
      </c>
    </row>
    <row r="19" spans="1:11" x14ac:dyDescent="0.25">
      <c r="A19">
        <v>18</v>
      </c>
      <c r="B19" s="3">
        <v>45589</v>
      </c>
      <c r="C19" s="5">
        <v>1043.2</v>
      </c>
      <c r="D19" s="4">
        <f t="shared" si="0"/>
        <v>348</v>
      </c>
      <c r="E19" s="4">
        <f t="shared" si="1"/>
        <v>695</v>
      </c>
      <c r="F19" t="s">
        <v>26</v>
      </c>
      <c r="G19" s="4">
        <v>95372</v>
      </c>
      <c r="H19" s="4">
        <f t="shared" si="2"/>
        <v>95720</v>
      </c>
      <c r="I19" s="4">
        <f t="shared" si="3"/>
        <v>94677</v>
      </c>
      <c r="J19" s="4">
        <v>95720</v>
      </c>
      <c r="K19" s="4">
        <f t="shared" si="4"/>
        <v>-348</v>
      </c>
    </row>
    <row r="20" spans="1:11" x14ac:dyDescent="0.25">
      <c r="A20">
        <v>19</v>
      </c>
      <c r="B20" s="3">
        <v>45590</v>
      </c>
      <c r="C20" s="5">
        <v>1032.19</v>
      </c>
      <c r="D20" s="4">
        <f t="shared" si="0"/>
        <v>344</v>
      </c>
      <c r="E20" s="4">
        <f t="shared" si="1"/>
        <v>688</v>
      </c>
      <c r="F20" t="s">
        <v>25</v>
      </c>
      <c r="G20" s="4">
        <v>96140</v>
      </c>
      <c r="H20" s="4">
        <f t="shared" si="2"/>
        <v>95796</v>
      </c>
      <c r="I20" s="4">
        <f t="shared" si="3"/>
        <v>96828</v>
      </c>
      <c r="J20" s="4">
        <v>95796</v>
      </c>
      <c r="K20" s="4">
        <f t="shared" si="4"/>
        <v>-344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Sheet1</vt:lpstr>
      <vt:lpstr>oct24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Владимир Иванов</cp:lastModifiedBy>
  <dcterms:created xsi:type="dcterms:W3CDTF">2024-10-19T14:52:13Z</dcterms:created>
  <dcterms:modified xsi:type="dcterms:W3CDTF">2024-10-27T17:14:18Z</dcterms:modified>
</cp:coreProperties>
</file>