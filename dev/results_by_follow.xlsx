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\Documents\stocks_entry_prediction\dev\"/>
    </mc:Choice>
  </mc:AlternateContent>
  <xr:revisionPtr revIDLastSave="0" documentId="13_ncr:1_{882F1751-1A14-440D-92FD-F9C53E97770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Лист1" sheetId="3" r:id="rId1"/>
    <sheet name="Sheet1" sheetId="1" r:id="rId2"/>
    <sheet name="oct24" sheetId="2" r:id="rId3"/>
    <sheet name="nov24" sheetId="4" r:id="rId4"/>
    <sheet name="pivot" sheetId="5" r:id="rId5"/>
  </sheets>
  <definedNames>
    <definedName name="_xlnm._FilterDatabase" localSheetId="4" hidden="1">pivot!$A$1:$M$454</definedName>
    <definedName name="_xlnm._FilterDatabase" localSheetId="1" hidden="1">Sheet1!$A$1:$V$431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5" l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0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M332" i="5" s="1"/>
  <c r="M333" i="5" s="1"/>
  <c r="M334" i="5" s="1"/>
  <c r="M335" i="5" s="1"/>
  <c r="M336" i="5" s="1"/>
  <c r="M337" i="5" s="1"/>
  <c r="M338" i="5" s="1"/>
  <c r="M339" i="5" s="1"/>
  <c r="M340" i="5" s="1"/>
  <c r="M341" i="5" s="1"/>
  <c r="M342" i="5" s="1"/>
  <c r="M343" i="5" s="1"/>
  <c r="M344" i="5" s="1"/>
  <c r="M345" i="5" s="1"/>
  <c r="M346" i="5" s="1"/>
  <c r="M347" i="5" s="1"/>
  <c r="M348" i="5" s="1"/>
  <c r="M349" i="5" s="1"/>
  <c r="M350" i="5" s="1"/>
  <c r="M351" i="5" s="1"/>
  <c r="M352" i="5" s="1"/>
  <c r="M353" i="5" s="1"/>
  <c r="M354" i="5" s="1"/>
  <c r="M355" i="5" s="1"/>
  <c r="M356" i="5" s="1"/>
  <c r="M357" i="5" s="1"/>
  <c r="M358" i="5" s="1"/>
  <c r="M359" i="5" s="1"/>
  <c r="M360" i="5" s="1"/>
  <c r="M361" i="5" s="1"/>
  <c r="M362" i="5" s="1"/>
  <c r="M363" i="5" s="1"/>
  <c r="M364" i="5" s="1"/>
  <c r="M365" i="5" s="1"/>
  <c r="M366" i="5" s="1"/>
  <c r="M367" i="5" s="1"/>
  <c r="M368" i="5" s="1"/>
  <c r="M369" i="5" s="1"/>
  <c r="M370" i="5" s="1"/>
  <c r="M371" i="5" s="1"/>
  <c r="M372" i="5" s="1"/>
  <c r="M373" i="5" s="1"/>
  <c r="M374" i="5" s="1"/>
  <c r="M375" i="5" s="1"/>
  <c r="M376" i="5" s="1"/>
  <c r="M377" i="5" s="1"/>
  <c r="M378" i="5" s="1"/>
  <c r="M379" i="5" s="1"/>
  <c r="M380" i="5" s="1"/>
  <c r="M381" i="5" s="1"/>
  <c r="M382" i="5" s="1"/>
  <c r="M383" i="5" s="1"/>
  <c r="M384" i="5" s="1"/>
  <c r="M385" i="5" s="1"/>
  <c r="M386" i="5" s="1"/>
  <c r="M387" i="5" s="1"/>
  <c r="M388" i="5" s="1"/>
  <c r="M389" i="5" s="1"/>
  <c r="M390" i="5" s="1"/>
  <c r="M391" i="5" s="1"/>
  <c r="M392" i="5" s="1"/>
  <c r="M393" i="5" s="1"/>
  <c r="M394" i="5" s="1"/>
  <c r="M395" i="5" s="1"/>
  <c r="M396" i="5" s="1"/>
  <c r="M397" i="5" s="1"/>
  <c r="M398" i="5" s="1"/>
  <c r="M399" i="5" s="1"/>
  <c r="M400" i="5" s="1"/>
  <c r="M401" i="5" s="1"/>
  <c r="M402" i="5" s="1"/>
  <c r="M403" i="5" s="1"/>
  <c r="M404" i="5" s="1"/>
  <c r="M405" i="5" s="1"/>
  <c r="M406" i="5" s="1"/>
  <c r="M407" i="5" s="1"/>
  <c r="M408" i="5" s="1"/>
  <c r="M409" i="5" s="1"/>
  <c r="M410" i="5" s="1"/>
  <c r="M411" i="5" s="1"/>
  <c r="M412" i="5" s="1"/>
  <c r="M413" i="5" s="1"/>
  <c r="M414" i="5" s="1"/>
  <c r="M415" i="5" s="1"/>
  <c r="M416" i="5" s="1"/>
  <c r="M417" i="5" s="1"/>
  <c r="M418" i="5" s="1"/>
  <c r="M419" i="5" s="1"/>
  <c r="M420" i="5" s="1"/>
  <c r="M421" i="5" s="1"/>
  <c r="M422" i="5" s="1"/>
  <c r="M423" i="5" s="1"/>
  <c r="M424" i="5" s="1"/>
  <c r="M425" i="5" s="1"/>
  <c r="M426" i="5" s="1"/>
  <c r="M427" i="5" s="1"/>
  <c r="M428" i="5" s="1"/>
  <c r="M429" i="5" s="1"/>
  <c r="M430" i="5" s="1"/>
  <c r="M431" i="5" s="1"/>
  <c r="M432" i="5" s="1"/>
  <c r="M433" i="5" s="1"/>
  <c r="M434" i="5" s="1"/>
  <c r="M435" i="5" s="1"/>
  <c r="M436" i="5" s="1"/>
  <c r="M437" i="5" s="1"/>
  <c r="M438" i="5" s="1"/>
  <c r="M439" i="5" s="1"/>
  <c r="M440" i="5" s="1"/>
  <c r="M441" i="5" s="1"/>
  <c r="M442" i="5" s="1"/>
  <c r="M443" i="5" s="1"/>
  <c r="M444" i="5" s="1"/>
  <c r="M445" i="5" s="1"/>
  <c r="M446" i="5" s="1"/>
  <c r="M447" i="5" s="1"/>
  <c r="M448" i="5" s="1"/>
  <c r="M449" i="5" s="1"/>
  <c r="M450" i="5" s="1"/>
  <c r="M451" i="5" s="1"/>
  <c r="M452" i="5" s="1"/>
  <c r="M453" i="5" s="1"/>
  <c r="M454" i="5" s="1"/>
  <c r="M3" i="5"/>
  <c r="M2" i="5"/>
  <c r="P1" i="5"/>
  <c r="K7" i="4"/>
  <c r="H7" i="4"/>
  <c r="I7" i="4"/>
  <c r="D7" i="4"/>
  <c r="E7" i="4"/>
  <c r="K6" i="4"/>
  <c r="H6" i="4"/>
  <c r="I6" i="4"/>
  <c r="D6" i="4"/>
  <c r="E6" i="4"/>
  <c r="K5" i="4"/>
  <c r="I5" i="4"/>
  <c r="H5" i="4"/>
  <c r="E5" i="4"/>
  <c r="D5" i="4"/>
  <c r="K4" i="4"/>
  <c r="I4" i="4"/>
  <c r="H4" i="4"/>
  <c r="E4" i="4"/>
  <c r="D4" i="4"/>
  <c r="D3" i="4"/>
  <c r="H3" i="4" s="1"/>
  <c r="E3" i="4"/>
  <c r="I3" i="4" s="1"/>
  <c r="K3" i="4"/>
  <c r="K2" i="4"/>
  <c r="E2" i="4"/>
  <c r="I2" i="4" s="1"/>
  <c r="D2" i="4"/>
  <c r="H2" i="4" s="1"/>
  <c r="K24" i="2"/>
  <c r="H24" i="2"/>
  <c r="I24" i="2"/>
  <c r="D24" i="2"/>
  <c r="E24" i="2"/>
  <c r="D17" i="3"/>
  <c r="D18" i="3"/>
  <c r="D19" i="3"/>
  <c r="D20" i="3"/>
  <c r="D21" i="3"/>
  <c r="D22" i="3"/>
  <c r="D23" i="3"/>
  <c r="D24" i="3"/>
  <c r="D25" i="3"/>
  <c r="D5" i="3"/>
  <c r="D6" i="3"/>
  <c r="D7" i="3"/>
  <c r="D8" i="3"/>
  <c r="D9" i="3"/>
  <c r="D10" i="3"/>
  <c r="D11" i="3"/>
  <c r="D12" i="3"/>
  <c r="D13" i="3"/>
  <c r="D14" i="3"/>
  <c r="D15" i="3"/>
  <c r="D4" i="3"/>
  <c r="Y3" i="1"/>
  <c r="T2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R2" i="1"/>
  <c r="Q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2" i="1"/>
  <c r="K23" i="2"/>
  <c r="D23" i="2"/>
  <c r="H23" i="2" s="1"/>
  <c r="E23" i="2"/>
  <c r="I23" i="2" s="1"/>
  <c r="K22" i="2"/>
  <c r="H22" i="2"/>
  <c r="I22" i="2"/>
  <c r="D22" i="2"/>
  <c r="E22" i="2"/>
  <c r="Q1" i="2"/>
  <c r="K21" i="2"/>
  <c r="H21" i="2"/>
  <c r="I21" i="2"/>
  <c r="D21" i="2"/>
  <c r="E2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" i="2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E2" i="2"/>
  <c r="D2" i="2"/>
  <c r="Q1" i="4" l="1"/>
  <c r="N1" i="4"/>
  <c r="N3" i="4" s="1"/>
  <c r="U2" i="1"/>
  <c r="V2" i="1" s="1"/>
  <c r="T3" i="1" s="1"/>
  <c r="U3" i="1" s="1"/>
  <c r="V3" i="1" s="1"/>
  <c r="T4" i="1" s="1"/>
  <c r="N1" i="2"/>
  <c r="N2" i="2" s="1"/>
  <c r="N2" i="4" l="1"/>
  <c r="U4" i="1"/>
  <c r="V4" i="1" s="1"/>
  <c r="T5" i="1" s="1"/>
  <c r="N3" i="2"/>
  <c r="U5" i="1" l="1"/>
  <c r="V5" i="1" s="1"/>
  <c r="T6" i="1" s="1"/>
  <c r="U6" i="1" l="1"/>
  <c r="V6" i="1" s="1"/>
  <c r="T7" i="1" s="1"/>
  <c r="U7" i="1" l="1"/>
  <c r="V7" i="1" s="1"/>
  <c r="T8" i="1" s="1"/>
  <c r="U8" i="1" l="1"/>
  <c r="V8" i="1" s="1"/>
  <c r="T9" i="1" l="1"/>
  <c r="U9" i="1" s="1"/>
  <c r="V9" i="1" s="1"/>
  <c r="T10" i="1" s="1"/>
  <c r="U10" i="1" s="1"/>
  <c r="V10" i="1" s="1"/>
  <c r="T11" i="1" s="1"/>
  <c r="U11" i="1" l="1"/>
  <c r="V11" i="1" s="1"/>
  <c r="T12" i="1" s="1"/>
  <c r="U12" i="1" l="1"/>
  <c r="V12" i="1" l="1"/>
  <c r="T13" i="1" s="1"/>
  <c r="U13" i="1" l="1"/>
  <c r="V13" i="1" s="1"/>
  <c r="T14" i="1" s="1"/>
  <c r="U14" i="1" l="1"/>
  <c r="V14" i="1" s="1"/>
  <c r="T15" i="1" s="1"/>
  <c r="U15" i="1" l="1"/>
  <c r="V15" i="1" s="1"/>
  <c r="T16" i="1" s="1"/>
  <c r="U16" i="1" l="1"/>
  <c r="V16" i="1" s="1"/>
  <c r="T17" i="1" s="1"/>
  <c r="U17" i="1" l="1"/>
  <c r="V17" i="1" s="1"/>
  <c r="T18" i="1" s="1"/>
  <c r="U18" i="1" l="1"/>
  <c r="V18" i="1" l="1"/>
  <c r="T19" i="1" s="1"/>
  <c r="U19" i="1" l="1"/>
  <c r="V19" i="1" s="1"/>
  <c r="T20" i="1" s="1"/>
  <c r="U20" i="1" l="1"/>
  <c r="V20" i="1" s="1"/>
  <c r="T21" i="1" s="1"/>
  <c r="U21" i="1" l="1"/>
  <c r="V21" i="1" s="1"/>
  <c r="T22" i="1" s="1"/>
  <c r="U22" i="1" l="1"/>
  <c r="V22" i="1" s="1"/>
  <c r="T23" i="1" s="1"/>
  <c r="U23" i="1" l="1"/>
  <c r="V23" i="1" s="1"/>
  <c r="T24" i="1" s="1"/>
  <c r="U24" i="1" l="1"/>
  <c r="V24" i="1" l="1"/>
  <c r="T25" i="1" s="1"/>
  <c r="U25" i="1" l="1"/>
  <c r="V25" i="1" s="1"/>
  <c r="T26" i="1" s="1"/>
  <c r="U26" i="1" l="1"/>
  <c r="V26" i="1" s="1"/>
  <c r="T27" i="1" s="1"/>
  <c r="U27" i="1" l="1"/>
  <c r="V27" i="1" l="1"/>
  <c r="T28" i="1" s="1"/>
  <c r="U28" i="1" l="1"/>
  <c r="V28" i="1" s="1"/>
  <c r="T29" i="1" s="1"/>
  <c r="U29" i="1" l="1"/>
  <c r="V29" i="1" s="1"/>
  <c r="T30" i="1" s="1"/>
  <c r="U30" i="1" l="1"/>
  <c r="V30" i="1" l="1"/>
  <c r="T31" i="1" s="1"/>
  <c r="U31" i="1" l="1"/>
  <c r="V31" i="1" s="1"/>
  <c r="T32" i="1" s="1"/>
  <c r="U32" i="1" l="1"/>
  <c r="V32" i="1" l="1"/>
  <c r="T33" i="1" s="1"/>
  <c r="U33" i="1" l="1"/>
  <c r="V33" i="1" s="1"/>
  <c r="T34" i="1" s="1"/>
  <c r="U34" i="1" l="1"/>
  <c r="V34" i="1" s="1"/>
  <c r="T35" i="1" s="1"/>
  <c r="U35" i="1" l="1"/>
  <c r="V35" i="1" s="1"/>
  <c r="T36" i="1" s="1"/>
  <c r="U36" i="1" l="1"/>
  <c r="V36" i="1" l="1"/>
  <c r="T37" i="1" s="1"/>
  <c r="U37" i="1" l="1"/>
  <c r="V37" i="1" s="1"/>
  <c r="T38" i="1" s="1"/>
  <c r="U38" i="1" l="1"/>
  <c r="V38" i="1" s="1"/>
  <c r="T39" i="1" s="1"/>
  <c r="U39" i="1" l="1"/>
  <c r="V39" i="1" s="1"/>
  <c r="T40" i="1" s="1"/>
  <c r="U40" i="1" l="1"/>
  <c r="V40" i="1" l="1"/>
  <c r="T41" i="1" s="1"/>
  <c r="U41" i="1" l="1"/>
  <c r="V41" i="1" s="1"/>
  <c r="T42" i="1" s="1"/>
  <c r="U42" i="1" l="1"/>
  <c r="V42" i="1" s="1"/>
  <c r="T43" i="1" s="1"/>
  <c r="U43" i="1" l="1"/>
  <c r="V43" i="1" s="1"/>
  <c r="T44" i="1" s="1"/>
  <c r="U44" i="1" l="1"/>
  <c r="V44" i="1" s="1"/>
  <c r="T45" i="1" s="1"/>
  <c r="U45" i="1" l="1"/>
  <c r="V45" i="1" s="1"/>
  <c r="T46" i="1" s="1"/>
  <c r="U46" i="1" l="1"/>
  <c r="V46" i="1" l="1"/>
  <c r="T47" i="1" s="1"/>
  <c r="U47" i="1" l="1"/>
  <c r="V47" i="1" l="1"/>
  <c r="T48" i="1" s="1"/>
  <c r="U48" i="1" l="1"/>
  <c r="V48" i="1" l="1"/>
  <c r="T49" i="1" s="1"/>
  <c r="U49" i="1" l="1"/>
  <c r="V49" i="1" s="1"/>
  <c r="T50" i="1" s="1"/>
  <c r="U50" i="1" l="1"/>
  <c r="V50" i="1" l="1"/>
  <c r="T51" i="1" s="1"/>
  <c r="U51" i="1" l="1"/>
  <c r="V51" i="1" s="1"/>
  <c r="T52" i="1" s="1"/>
  <c r="U52" i="1" l="1"/>
  <c r="V52" i="1" s="1"/>
  <c r="T53" i="1" s="1"/>
  <c r="U53" i="1" l="1"/>
  <c r="V53" i="1" s="1"/>
  <c r="T54" i="1" s="1"/>
  <c r="U54" i="1" l="1"/>
  <c r="V54" i="1" l="1"/>
  <c r="T55" i="1" s="1"/>
  <c r="U55" i="1" l="1"/>
  <c r="V55" i="1" s="1"/>
  <c r="T56" i="1" s="1"/>
  <c r="U56" i="1" l="1"/>
  <c r="V56" i="1" l="1"/>
  <c r="T57" i="1" s="1"/>
  <c r="U57" i="1" l="1"/>
  <c r="V57" i="1" s="1"/>
  <c r="T58" i="1" s="1"/>
  <c r="U58" i="1" l="1"/>
  <c r="V58" i="1" s="1"/>
  <c r="T59" i="1" s="1"/>
  <c r="U59" i="1" l="1"/>
  <c r="V59" i="1" l="1"/>
  <c r="T60" i="1" s="1"/>
  <c r="U60" i="1" l="1"/>
  <c r="V60" i="1" s="1"/>
  <c r="T61" i="1" s="1"/>
  <c r="U61" i="1" l="1"/>
  <c r="V61" i="1" s="1"/>
  <c r="T62" i="1" s="1"/>
  <c r="U62" i="1" l="1"/>
  <c r="V62" i="1" s="1"/>
  <c r="T63" i="1" s="1"/>
  <c r="U63" i="1" l="1"/>
  <c r="V63" i="1" l="1"/>
  <c r="T64" i="1" s="1"/>
  <c r="U64" i="1" l="1"/>
  <c r="V64" i="1" s="1"/>
  <c r="T65" i="1" s="1"/>
  <c r="U65" i="1" l="1"/>
  <c r="V65" i="1" l="1"/>
  <c r="T66" i="1" s="1"/>
  <c r="U66" i="1" l="1"/>
  <c r="V66" i="1" s="1"/>
  <c r="T67" i="1" s="1"/>
  <c r="U67" i="1" l="1"/>
  <c r="V67" i="1" s="1"/>
  <c r="T68" i="1" s="1"/>
  <c r="U68" i="1" l="1"/>
  <c r="V68" i="1" s="1"/>
  <c r="T69" i="1" s="1"/>
  <c r="U69" i="1" l="1"/>
  <c r="V69" i="1" s="1"/>
  <c r="T70" i="1" s="1"/>
  <c r="U70" i="1" l="1"/>
  <c r="V70" i="1" s="1"/>
  <c r="T71" i="1" s="1"/>
  <c r="U71" i="1" l="1"/>
  <c r="V71" i="1" l="1"/>
  <c r="T72" i="1" s="1"/>
  <c r="U72" i="1" l="1"/>
  <c r="V72" i="1" s="1"/>
  <c r="T73" i="1" s="1"/>
  <c r="U73" i="1" l="1"/>
  <c r="V73" i="1" l="1"/>
  <c r="T74" i="1" s="1"/>
  <c r="U74" i="1" l="1"/>
  <c r="V74" i="1" s="1"/>
  <c r="T75" i="1" s="1"/>
  <c r="U75" i="1" l="1"/>
  <c r="V75" i="1" s="1"/>
  <c r="T76" i="1" s="1"/>
  <c r="U76" i="1" l="1"/>
  <c r="V76" i="1" s="1"/>
  <c r="T77" i="1" s="1"/>
  <c r="U77" i="1" l="1"/>
  <c r="V77" i="1" s="1"/>
  <c r="T78" i="1" s="1"/>
  <c r="U78" i="1" l="1"/>
  <c r="V78" i="1" l="1"/>
  <c r="T79" i="1" s="1"/>
  <c r="U79" i="1" l="1"/>
  <c r="V79" i="1" s="1"/>
  <c r="T80" i="1" s="1"/>
  <c r="U80" i="1" l="1"/>
  <c r="V80" i="1" s="1"/>
  <c r="T81" i="1" s="1"/>
  <c r="U81" i="1" l="1"/>
  <c r="V81" i="1" s="1"/>
  <c r="T82" i="1" s="1"/>
  <c r="U82" i="1" l="1"/>
  <c r="V82" i="1" s="1"/>
  <c r="T83" i="1" s="1"/>
  <c r="U83" i="1" l="1"/>
  <c r="V83" i="1" s="1"/>
  <c r="T84" i="1" s="1"/>
  <c r="U84" i="1" l="1"/>
  <c r="V84" i="1" s="1"/>
  <c r="T85" i="1" s="1"/>
  <c r="U85" i="1" l="1"/>
  <c r="V85" i="1" s="1"/>
  <c r="T86" i="1" s="1"/>
  <c r="U86" i="1" l="1"/>
  <c r="V86" i="1" s="1"/>
  <c r="T87" i="1" s="1"/>
  <c r="U87" i="1" l="1"/>
  <c r="V87" i="1" s="1"/>
  <c r="T88" i="1" s="1"/>
  <c r="U88" i="1" l="1"/>
  <c r="V88" i="1" l="1"/>
  <c r="T89" i="1" s="1"/>
  <c r="U89" i="1" l="1"/>
  <c r="V89" i="1" l="1"/>
  <c r="T90" i="1" s="1"/>
  <c r="U90" i="1" l="1"/>
  <c r="V90" i="1" l="1"/>
  <c r="T91" i="1" s="1"/>
  <c r="U91" i="1" l="1"/>
  <c r="V91" i="1" s="1"/>
  <c r="T92" i="1" s="1"/>
  <c r="U92" i="1" l="1"/>
  <c r="V92" i="1" l="1"/>
  <c r="T93" i="1" s="1"/>
  <c r="U93" i="1" l="1"/>
  <c r="V93" i="1" s="1"/>
  <c r="T94" i="1" s="1"/>
  <c r="U94" i="1" l="1"/>
  <c r="V94" i="1" s="1"/>
  <c r="T95" i="1" s="1"/>
  <c r="U95" i="1" l="1"/>
  <c r="V95" i="1" s="1"/>
  <c r="T96" i="1" s="1"/>
  <c r="U96" i="1" l="1"/>
  <c r="V96" i="1" s="1"/>
  <c r="T97" i="1" s="1"/>
  <c r="U97" i="1" l="1"/>
  <c r="V97" i="1" s="1"/>
  <c r="T98" i="1" s="1"/>
  <c r="U98" i="1" l="1"/>
  <c r="V98" i="1" l="1"/>
  <c r="T99" i="1" s="1"/>
  <c r="U99" i="1" l="1"/>
  <c r="V99" i="1" s="1"/>
  <c r="T100" i="1" s="1"/>
  <c r="U100" i="1" l="1"/>
  <c r="V100" i="1" s="1"/>
  <c r="T101" i="1" s="1"/>
  <c r="U101" i="1" l="1"/>
  <c r="V101" i="1" s="1"/>
  <c r="T102" i="1" s="1"/>
  <c r="U102" i="1" l="1"/>
  <c r="V102" i="1" s="1"/>
  <c r="T103" i="1" s="1"/>
  <c r="U103" i="1" l="1"/>
  <c r="V103" i="1" s="1"/>
  <c r="T104" i="1" s="1"/>
  <c r="U104" i="1" l="1"/>
  <c r="V104" i="1" s="1"/>
  <c r="T105" i="1" s="1"/>
  <c r="U105" i="1" l="1"/>
  <c r="V105" i="1" s="1"/>
  <c r="T106" i="1" s="1"/>
  <c r="U106" i="1" l="1"/>
  <c r="V106" i="1" s="1"/>
  <c r="T107" i="1" s="1"/>
  <c r="U107" i="1" l="1"/>
  <c r="V107" i="1" l="1"/>
  <c r="T108" i="1" s="1"/>
  <c r="U108" i="1" l="1"/>
  <c r="V108" i="1" s="1"/>
  <c r="T109" i="1" s="1"/>
  <c r="U109" i="1" l="1"/>
  <c r="V109" i="1" l="1"/>
  <c r="T110" i="1" s="1"/>
  <c r="U110" i="1" l="1"/>
  <c r="V110" i="1" s="1"/>
  <c r="T111" i="1" s="1"/>
  <c r="U111" i="1" l="1"/>
  <c r="V111" i="1" s="1"/>
  <c r="T112" i="1" s="1"/>
  <c r="U112" i="1" l="1"/>
  <c r="V112" i="1" l="1"/>
  <c r="T113" i="1" s="1"/>
  <c r="U113" i="1" l="1"/>
  <c r="V113" i="1" s="1"/>
  <c r="T114" i="1" s="1"/>
  <c r="U114" i="1" l="1"/>
  <c r="V114" i="1" l="1"/>
  <c r="T115" i="1" s="1"/>
  <c r="U115" i="1" l="1"/>
  <c r="V115" i="1" s="1"/>
  <c r="T116" i="1" s="1"/>
  <c r="U116" i="1" l="1"/>
  <c r="V116" i="1" l="1"/>
  <c r="T117" i="1" s="1"/>
  <c r="U117" i="1" l="1"/>
  <c r="V117" i="1" s="1"/>
  <c r="T118" i="1" s="1"/>
  <c r="U118" i="1" l="1"/>
  <c r="V118" i="1" s="1"/>
  <c r="T119" i="1" s="1"/>
  <c r="U119" i="1" l="1"/>
  <c r="V119" i="1" s="1"/>
  <c r="T120" i="1" s="1"/>
  <c r="U120" i="1" l="1"/>
  <c r="V120" i="1" l="1"/>
  <c r="T121" i="1" s="1"/>
  <c r="U121" i="1" l="1"/>
  <c r="V121" i="1" s="1"/>
  <c r="T122" i="1" s="1"/>
  <c r="U122" i="1" l="1"/>
  <c r="V122" i="1" s="1"/>
  <c r="T123" i="1" s="1"/>
  <c r="U123" i="1" l="1"/>
  <c r="V123" i="1" s="1"/>
  <c r="T124" i="1" s="1"/>
  <c r="U124" i="1" l="1"/>
  <c r="V124" i="1" s="1"/>
  <c r="T125" i="1" s="1"/>
  <c r="U125" i="1" l="1"/>
  <c r="V125" i="1" s="1"/>
  <c r="T126" i="1" s="1"/>
  <c r="U126" i="1" l="1"/>
  <c r="V126" i="1" s="1"/>
  <c r="T127" i="1" s="1"/>
  <c r="U127" i="1" l="1"/>
  <c r="V127" i="1" s="1"/>
  <c r="T128" i="1" s="1"/>
  <c r="U128" i="1" l="1"/>
  <c r="V128" i="1" s="1"/>
  <c r="T129" i="1" s="1"/>
  <c r="U129" i="1" l="1"/>
  <c r="V129" i="1" s="1"/>
  <c r="T130" i="1" s="1"/>
  <c r="U130" i="1" l="1"/>
  <c r="V130" i="1" s="1"/>
  <c r="T131" i="1" s="1"/>
  <c r="U131" i="1" l="1"/>
  <c r="V131" i="1" s="1"/>
  <c r="T132" i="1" s="1"/>
  <c r="U132" i="1" l="1"/>
  <c r="V132" i="1" l="1"/>
  <c r="T133" i="1" s="1"/>
  <c r="U133" i="1" l="1"/>
  <c r="V133" i="1" s="1"/>
  <c r="T134" i="1" s="1"/>
  <c r="U134" i="1" l="1"/>
  <c r="V134" i="1" s="1"/>
  <c r="T135" i="1" s="1"/>
  <c r="U135" i="1" l="1"/>
  <c r="V135" i="1" s="1"/>
  <c r="T136" i="1" s="1"/>
  <c r="U136" i="1" l="1"/>
  <c r="V136" i="1" s="1"/>
  <c r="T137" i="1" s="1"/>
  <c r="U137" i="1" l="1"/>
  <c r="V137" i="1" s="1"/>
  <c r="T138" i="1" s="1"/>
  <c r="U138" i="1" l="1"/>
  <c r="V138" i="1" s="1"/>
  <c r="T139" i="1" s="1"/>
  <c r="U139" i="1" l="1"/>
  <c r="V139" i="1" s="1"/>
  <c r="T140" i="1" s="1"/>
  <c r="U140" i="1" l="1"/>
  <c r="V140" i="1" s="1"/>
  <c r="T141" i="1" s="1"/>
  <c r="U141" i="1" l="1"/>
  <c r="V141" i="1" s="1"/>
  <c r="T142" i="1" s="1"/>
  <c r="U142" i="1" l="1"/>
  <c r="V142" i="1" l="1"/>
  <c r="T143" i="1" s="1"/>
  <c r="U143" i="1" l="1"/>
  <c r="V143" i="1" s="1"/>
  <c r="T144" i="1" s="1"/>
  <c r="U144" i="1" l="1"/>
  <c r="V144" i="1" s="1"/>
  <c r="T145" i="1" s="1"/>
  <c r="U145" i="1" l="1"/>
  <c r="V145" i="1" l="1"/>
  <c r="T146" i="1" s="1"/>
  <c r="U146" i="1" l="1"/>
  <c r="V146" i="1" s="1"/>
  <c r="T147" i="1" s="1"/>
  <c r="U147" i="1" l="1"/>
  <c r="V147" i="1" s="1"/>
  <c r="T148" i="1" s="1"/>
  <c r="U148" i="1" l="1"/>
  <c r="V148" i="1" s="1"/>
  <c r="T149" i="1" s="1"/>
  <c r="U149" i="1" l="1"/>
  <c r="V149" i="1" s="1"/>
  <c r="T150" i="1" s="1"/>
  <c r="U150" i="1" l="1"/>
  <c r="V150" i="1" s="1"/>
  <c r="T151" i="1" s="1"/>
  <c r="U151" i="1" l="1"/>
  <c r="V151" i="1" s="1"/>
  <c r="T152" i="1" s="1"/>
  <c r="U152" i="1" l="1"/>
  <c r="V152" i="1" l="1"/>
  <c r="T153" i="1" s="1"/>
  <c r="U153" i="1" l="1"/>
  <c r="V153" i="1" s="1"/>
  <c r="T154" i="1" s="1"/>
  <c r="U154" i="1" l="1"/>
  <c r="V154" i="1" s="1"/>
  <c r="T155" i="1" s="1"/>
  <c r="U155" i="1" l="1"/>
  <c r="V155" i="1" s="1"/>
  <c r="T156" i="1" s="1"/>
  <c r="U156" i="1" l="1"/>
  <c r="V156" i="1" s="1"/>
  <c r="T157" i="1" s="1"/>
  <c r="U157" i="1" l="1"/>
  <c r="V157" i="1" s="1"/>
  <c r="T158" i="1" s="1"/>
  <c r="U158" i="1" l="1"/>
  <c r="V158" i="1" s="1"/>
  <c r="T159" i="1" s="1"/>
  <c r="U159" i="1" l="1"/>
  <c r="V159" i="1" s="1"/>
  <c r="T160" i="1" s="1"/>
  <c r="U160" i="1" l="1"/>
  <c r="V160" i="1" s="1"/>
  <c r="T161" i="1" s="1"/>
  <c r="U161" i="1" l="1"/>
  <c r="V161" i="1" s="1"/>
  <c r="T162" i="1" s="1"/>
  <c r="U162" i="1" l="1"/>
  <c r="V162" i="1" s="1"/>
  <c r="T163" i="1" s="1"/>
  <c r="U163" i="1" l="1"/>
  <c r="V163" i="1" s="1"/>
  <c r="T164" i="1" s="1"/>
  <c r="U164" i="1" l="1"/>
  <c r="V164" i="1" s="1"/>
  <c r="T165" i="1" s="1"/>
  <c r="U165" i="1" l="1"/>
  <c r="V165" i="1" s="1"/>
  <c r="T166" i="1" s="1"/>
  <c r="U166" i="1" l="1"/>
  <c r="V166" i="1" s="1"/>
  <c r="T167" i="1" s="1"/>
  <c r="U167" i="1" l="1"/>
  <c r="V167" i="1" s="1"/>
  <c r="T168" i="1" s="1"/>
  <c r="U168" i="1" l="1"/>
  <c r="V168" i="1" l="1"/>
  <c r="T169" i="1" s="1"/>
  <c r="U169" i="1" l="1"/>
  <c r="V169" i="1" s="1"/>
  <c r="T170" i="1" s="1"/>
  <c r="U170" i="1" l="1"/>
  <c r="V170" i="1" s="1"/>
  <c r="T171" i="1" s="1"/>
  <c r="U171" i="1" l="1"/>
  <c r="V171" i="1" s="1"/>
  <c r="T172" i="1" s="1"/>
  <c r="U172" i="1" l="1"/>
  <c r="V172" i="1" s="1"/>
  <c r="T173" i="1" s="1"/>
  <c r="U173" i="1" l="1"/>
  <c r="V173" i="1" s="1"/>
  <c r="T174" i="1" s="1"/>
  <c r="U174" i="1" l="1"/>
  <c r="V174" i="1" s="1"/>
  <c r="T175" i="1" s="1"/>
  <c r="U175" i="1" l="1"/>
  <c r="V175" i="1" l="1"/>
  <c r="T176" i="1" s="1"/>
  <c r="U176" i="1" l="1"/>
  <c r="V176" i="1" s="1"/>
  <c r="T177" i="1" s="1"/>
  <c r="U177" i="1" l="1"/>
  <c r="V177" i="1" s="1"/>
  <c r="T178" i="1" s="1"/>
  <c r="U178" i="1" l="1"/>
  <c r="V178" i="1" l="1"/>
  <c r="T179" i="1" s="1"/>
  <c r="U179" i="1" l="1"/>
  <c r="V179" i="1" s="1"/>
  <c r="T180" i="1" s="1"/>
  <c r="U180" i="1" l="1"/>
  <c r="V180" i="1" s="1"/>
  <c r="T181" i="1" s="1"/>
  <c r="U181" i="1" l="1"/>
  <c r="V181" i="1" s="1"/>
  <c r="T182" i="1" s="1"/>
  <c r="U182" i="1" l="1"/>
  <c r="V182" i="1" l="1"/>
  <c r="T183" i="1" s="1"/>
  <c r="U183" i="1" l="1"/>
  <c r="V183" i="1" s="1"/>
  <c r="T184" i="1" s="1"/>
  <c r="U184" i="1" l="1"/>
  <c r="V184" i="1" s="1"/>
  <c r="T185" i="1" s="1"/>
  <c r="U185" i="1" l="1"/>
  <c r="V185" i="1" s="1"/>
  <c r="T186" i="1" s="1"/>
  <c r="U186" i="1" l="1"/>
  <c r="V186" i="1" s="1"/>
  <c r="T187" i="1" s="1"/>
  <c r="U187" i="1" l="1"/>
  <c r="V187" i="1" s="1"/>
  <c r="T188" i="1" s="1"/>
  <c r="U188" i="1" l="1"/>
  <c r="V188" i="1" s="1"/>
  <c r="T189" i="1" s="1"/>
  <c r="U189" i="1" l="1"/>
  <c r="V189" i="1" s="1"/>
  <c r="T190" i="1" s="1"/>
  <c r="U190" i="1" l="1"/>
  <c r="V190" i="1" s="1"/>
  <c r="T191" i="1" s="1"/>
  <c r="U191" i="1" l="1"/>
  <c r="V191" i="1" s="1"/>
  <c r="T192" i="1" s="1"/>
  <c r="U192" i="1" l="1"/>
  <c r="V192" i="1" s="1"/>
  <c r="T193" i="1" s="1"/>
  <c r="U193" i="1" l="1"/>
  <c r="V193" i="1" s="1"/>
  <c r="T194" i="1" s="1"/>
  <c r="U194" i="1" l="1"/>
  <c r="V194" i="1" s="1"/>
  <c r="T195" i="1" s="1"/>
  <c r="U195" i="1" l="1"/>
  <c r="V195" i="1" s="1"/>
  <c r="T196" i="1" s="1"/>
  <c r="U196" i="1" l="1"/>
  <c r="V196" i="1" l="1"/>
  <c r="T197" i="1" s="1"/>
  <c r="U197" i="1" l="1"/>
  <c r="V197" i="1" s="1"/>
  <c r="T198" i="1" s="1"/>
  <c r="U198" i="1" l="1"/>
  <c r="V198" i="1" l="1"/>
  <c r="T199" i="1" s="1"/>
  <c r="U199" i="1" l="1"/>
  <c r="V199" i="1" l="1"/>
  <c r="T200" i="1" s="1"/>
  <c r="U200" i="1" l="1"/>
  <c r="V200" i="1" s="1"/>
  <c r="T201" i="1" s="1"/>
  <c r="U201" i="1" l="1"/>
  <c r="V201" i="1" l="1"/>
  <c r="T202" i="1" s="1"/>
  <c r="U202" i="1" l="1"/>
  <c r="V202" i="1" s="1"/>
  <c r="T203" i="1" s="1"/>
  <c r="U203" i="1" l="1"/>
  <c r="V203" i="1" l="1"/>
  <c r="T204" i="1" s="1"/>
  <c r="U204" i="1" l="1"/>
  <c r="V204" i="1" s="1"/>
  <c r="T205" i="1" s="1"/>
  <c r="U205" i="1" l="1"/>
  <c r="V205" i="1" l="1"/>
  <c r="T206" i="1" s="1"/>
  <c r="U206" i="1" l="1"/>
  <c r="V206" i="1" s="1"/>
  <c r="T207" i="1" s="1"/>
  <c r="U207" i="1" l="1"/>
  <c r="V207" i="1" s="1"/>
  <c r="T208" i="1" s="1"/>
  <c r="U208" i="1" l="1"/>
  <c r="V208" i="1" s="1"/>
  <c r="T209" i="1" s="1"/>
  <c r="U209" i="1" l="1"/>
  <c r="V209" i="1" s="1"/>
  <c r="T210" i="1" s="1"/>
  <c r="U210" i="1" l="1"/>
  <c r="V210" i="1" s="1"/>
  <c r="T211" i="1" s="1"/>
  <c r="U211" i="1" l="1"/>
  <c r="V211" i="1" s="1"/>
  <c r="T212" i="1" s="1"/>
  <c r="U212" i="1" l="1"/>
  <c r="V212" i="1" s="1"/>
  <c r="T213" i="1" s="1"/>
  <c r="U213" i="1" l="1"/>
  <c r="V213" i="1" s="1"/>
  <c r="T214" i="1" s="1"/>
  <c r="U214" i="1" l="1"/>
  <c r="V214" i="1" s="1"/>
  <c r="T215" i="1" s="1"/>
  <c r="U215" i="1" l="1"/>
  <c r="V215" i="1" s="1"/>
  <c r="T216" i="1" s="1"/>
  <c r="U216" i="1" l="1"/>
  <c r="V216" i="1" s="1"/>
  <c r="T217" i="1" s="1"/>
  <c r="U217" i="1" l="1"/>
  <c r="V217" i="1" s="1"/>
  <c r="T218" i="1" s="1"/>
  <c r="U218" i="1" l="1"/>
  <c r="V218" i="1" s="1"/>
  <c r="T219" i="1" s="1"/>
  <c r="U219" i="1" l="1"/>
  <c r="V219" i="1" s="1"/>
  <c r="T220" i="1" s="1"/>
  <c r="U220" i="1" l="1"/>
  <c r="V220" i="1" s="1"/>
  <c r="T221" i="1" s="1"/>
  <c r="U221" i="1" l="1"/>
  <c r="V221" i="1" s="1"/>
  <c r="T222" i="1" s="1"/>
  <c r="U222" i="1" l="1"/>
  <c r="V222" i="1" s="1"/>
  <c r="T223" i="1" s="1"/>
  <c r="U223" i="1" l="1"/>
  <c r="V223" i="1" s="1"/>
  <c r="T224" i="1" s="1"/>
  <c r="U224" i="1" l="1"/>
  <c r="V224" i="1" s="1"/>
  <c r="T225" i="1" s="1"/>
  <c r="U225" i="1" l="1"/>
  <c r="V225" i="1" l="1"/>
  <c r="T226" i="1" s="1"/>
  <c r="U226" i="1" l="1"/>
  <c r="V226" i="1" s="1"/>
  <c r="T227" i="1" s="1"/>
  <c r="U227" i="1" l="1"/>
  <c r="V227" i="1" s="1"/>
  <c r="T228" i="1" s="1"/>
  <c r="U228" i="1" l="1"/>
  <c r="V228" i="1" s="1"/>
  <c r="T229" i="1" s="1"/>
  <c r="U229" i="1" l="1"/>
  <c r="V229" i="1" s="1"/>
  <c r="T230" i="1" s="1"/>
  <c r="U230" i="1" l="1"/>
  <c r="V230" i="1" l="1"/>
  <c r="T231" i="1" l="1"/>
  <c r="U231" i="1" s="1"/>
  <c r="V231" i="1" s="1"/>
  <c r="T232" i="1" l="1"/>
  <c r="U232" i="1" s="1"/>
  <c r="V232" i="1" s="1"/>
  <c r="T233" i="1" s="1"/>
  <c r="U233" i="1" l="1"/>
  <c r="V233" i="1" s="1"/>
  <c r="T234" i="1" s="1"/>
  <c r="U234" i="1" l="1"/>
  <c r="V234" i="1" s="1"/>
  <c r="T235" i="1" s="1"/>
  <c r="U235" i="1" l="1"/>
  <c r="V235" i="1" l="1"/>
  <c r="T236" i="1" s="1"/>
  <c r="U236" i="1" l="1"/>
  <c r="V236" i="1" s="1"/>
  <c r="T237" i="1" s="1"/>
  <c r="U237" i="1" l="1"/>
  <c r="V237" i="1" s="1"/>
  <c r="T238" i="1" s="1"/>
  <c r="U238" i="1" l="1"/>
  <c r="V238" i="1" l="1"/>
  <c r="T239" i="1" s="1"/>
  <c r="U239" i="1" l="1"/>
  <c r="V239" i="1" s="1"/>
  <c r="T240" i="1" l="1"/>
  <c r="U240" i="1" s="1"/>
  <c r="V240" i="1" s="1"/>
  <c r="T241" i="1" s="1"/>
  <c r="U241" i="1" l="1"/>
  <c r="V241" i="1" s="1"/>
  <c r="T242" i="1" l="1"/>
  <c r="U242" i="1" s="1"/>
  <c r="V242" i="1" s="1"/>
  <c r="T243" i="1" l="1"/>
  <c r="U243" i="1" s="1"/>
  <c r="V243" i="1" s="1"/>
  <c r="T244" i="1" l="1"/>
  <c r="U244" i="1" s="1"/>
  <c r="V244" i="1" s="1"/>
  <c r="T245" i="1" l="1"/>
  <c r="U245" i="1" s="1"/>
  <c r="V245" i="1" s="1"/>
  <c r="T246" i="1" l="1"/>
  <c r="U246" i="1" s="1"/>
  <c r="V246" i="1" s="1"/>
  <c r="T247" i="1" l="1"/>
  <c r="U247" i="1" s="1"/>
  <c r="V247" i="1" s="1"/>
  <c r="T248" i="1" l="1"/>
  <c r="U248" i="1" s="1"/>
  <c r="V248" i="1" s="1"/>
  <c r="T249" i="1" s="1"/>
  <c r="U249" i="1" l="1"/>
  <c r="V249" i="1" s="1"/>
  <c r="T250" i="1" l="1"/>
  <c r="U250" i="1" s="1"/>
  <c r="V250" i="1" s="1"/>
  <c r="T251" i="1" l="1"/>
  <c r="U251" i="1" s="1"/>
  <c r="V251" i="1" s="1"/>
  <c r="T252" i="1" l="1"/>
  <c r="U252" i="1" s="1"/>
  <c r="V252" i="1" s="1"/>
  <c r="T253" i="1" l="1"/>
  <c r="U253" i="1" s="1"/>
  <c r="V253" i="1" s="1"/>
  <c r="T254" i="1" s="1"/>
  <c r="U254" i="1" l="1"/>
  <c r="V254" i="1" s="1"/>
  <c r="T255" i="1" s="1"/>
  <c r="U255" i="1" l="1"/>
  <c r="V255" i="1" s="1"/>
  <c r="T256" i="1" s="1"/>
  <c r="U256" i="1" l="1"/>
  <c r="V256" i="1" s="1"/>
  <c r="T257" i="1" s="1"/>
  <c r="U257" i="1" l="1"/>
  <c r="V257" i="1" s="1"/>
  <c r="T258" i="1" s="1"/>
  <c r="U258" i="1" l="1"/>
  <c r="V258" i="1" s="1"/>
  <c r="T259" i="1" s="1"/>
  <c r="U259" i="1" l="1"/>
  <c r="V259" i="1" s="1"/>
  <c r="T260" i="1" s="1"/>
  <c r="U260" i="1" l="1"/>
  <c r="V260" i="1" s="1"/>
  <c r="T261" i="1" s="1"/>
  <c r="U261" i="1" l="1"/>
  <c r="V261" i="1" s="1"/>
  <c r="T262" i="1" s="1"/>
  <c r="U262" i="1" l="1"/>
  <c r="V262" i="1" l="1"/>
  <c r="T263" i="1" l="1"/>
  <c r="U263" i="1" s="1"/>
  <c r="V263" i="1" s="1"/>
  <c r="T264" i="1" s="1"/>
  <c r="U264" i="1" l="1"/>
  <c r="V264" i="1" s="1"/>
  <c r="T265" i="1" s="1"/>
  <c r="U265" i="1" l="1"/>
  <c r="V265" i="1" s="1"/>
  <c r="T266" i="1" s="1"/>
  <c r="U266" i="1" l="1"/>
  <c r="V266" i="1" s="1"/>
  <c r="T267" i="1" s="1"/>
  <c r="U267" i="1" l="1"/>
  <c r="V267" i="1" s="1"/>
  <c r="T268" i="1" s="1"/>
  <c r="U268" i="1" l="1"/>
  <c r="V268" i="1" s="1"/>
  <c r="T269" i="1" s="1"/>
  <c r="U269" i="1" l="1"/>
  <c r="V269" i="1" s="1"/>
  <c r="T270" i="1" s="1"/>
  <c r="U270" i="1" l="1"/>
  <c r="V270" i="1" s="1"/>
  <c r="T271" i="1" s="1"/>
  <c r="U271" i="1" l="1"/>
  <c r="V271" i="1" s="1"/>
  <c r="T272" i="1" s="1"/>
  <c r="U272" i="1" l="1"/>
  <c r="V272" i="1" l="1"/>
  <c r="T273" i="1" s="1"/>
  <c r="U273" i="1" l="1"/>
  <c r="V273" i="1" s="1"/>
  <c r="T274" i="1" s="1"/>
  <c r="U274" i="1" l="1"/>
  <c r="V274" i="1" l="1"/>
  <c r="T275" i="1" s="1"/>
  <c r="U275" i="1" l="1"/>
  <c r="V275" i="1" l="1"/>
  <c r="T276" i="1" s="1"/>
  <c r="U276" i="1" l="1"/>
  <c r="V276" i="1" s="1"/>
  <c r="T277" i="1" s="1"/>
  <c r="U277" i="1" l="1"/>
  <c r="V277" i="1" s="1"/>
  <c r="T278" i="1" s="1"/>
  <c r="U278" i="1" l="1"/>
  <c r="V278" i="1" s="1"/>
  <c r="T279" i="1" s="1"/>
  <c r="U279" i="1" l="1"/>
  <c r="V279" i="1" l="1"/>
  <c r="T280" i="1" s="1"/>
  <c r="U280" i="1" l="1"/>
  <c r="V280" i="1" l="1"/>
  <c r="T281" i="1" s="1"/>
  <c r="U281" i="1" l="1"/>
  <c r="V281" i="1" l="1"/>
  <c r="T282" i="1" s="1"/>
  <c r="U282" i="1" l="1"/>
  <c r="V282" i="1" l="1"/>
  <c r="T283" i="1" l="1"/>
  <c r="U283" i="1" s="1"/>
  <c r="V283" i="1" s="1"/>
  <c r="T284" i="1" s="1"/>
  <c r="U284" i="1" l="1"/>
  <c r="V284" i="1" s="1"/>
  <c r="T285" i="1" s="1"/>
  <c r="U285" i="1" l="1"/>
  <c r="V285" i="1" l="1"/>
  <c r="T286" i="1" s="1"/>
  <c r="U286" i="1" l="1"/>
  <c r="V286" i="1" l="1"/>
  <c r="T287" i="1" s="1"/>
  <c r="U287" i="1" l="1"/>
  <c r="V287" i="1" s="1"/>
  <c r="T288" i="1" s="1"/>
  <c r="U288" i="1" l="1"/>
  <c r="V288" i="1" l="1"/>
  <c r="T289" i="1" s="1"/>
  <c r="U289" i="1" l="1"/>
  <c r="V289" i="1" l="1"/>
  <c r="T290" i="1" s="1"/>
  <c r="U290" i="1" l="1"/>
  <c r="V290" i="1" s="1"/>
  <c r="T291" i="1" s="1"/>
  <c r="U291" i="1" l="1"/>
  <c r="V291" i="1" l="1"/>
  <c r="T292" i="1" s="1"/>
  <c r="U292" i="1" l="1"/>
  <c r="V292" i="1" l="1"/>
  <c r="T293" i="1" s="1"/>
  <c r="U293" i="1" l="1"/>
  <c r="V293" i="1" l="1"/>
  <c r="T294" i="1" s="1"/>
  <c r="U294" i="1" l="1"/>
  <c r="V294" i="1" l="1"/>
  <c r="T295" i="1" s="1"/>
  <c r="U295" i="1" l="1"/>
  <c r="V295" i="1" l="1"/>
  <c r="T296" i="1" s="1"/>
  <c r="U296" i="1" l="1"/>
  <c r="V296" i="1" l="1"/>
  <c r="T297" i="1" s="1"/>
  <c r="U297" i="1" l="1"/>
  <c r="V297" i="1" l="1"/>
  <c r="T298" i="1" s="1"/>
  <c r="U298" i="1" l="1"/>
  <c r="V298" i="1" l="1"/>
  <c r="T299" i="1" s="1"/>
  <c r="U299" i="1" l="1"/>
  <c r="V299" i="1" l="1"/>
  <c r="T300" i="1" s="1"/>
  <c r="U300" i="1" l="1"/>
  <c r="V300" i="1" l="1"/>
  <c r="T301" i="1" s="1"/>
  <c r="U301" i="1" l="1"/>
  <c r="V301" i="1" l="1"/>
  <c r="T302" i="1" s="1"/>
  <c r="U302" i="1" l="1"/>
  <c r="V302" i="1" l="1"/>
  <c r="T303" i="1" s="1"/>
  <c r="U303" i="1" l="1"/>
  <c r="V303" i="1" l="1"/>
  <c r="T304" i="1" s="1"/>
  <c r="U304" i="1" l="1"/>
  <c r="V304" i="1" l="1"/>
  <c r="T305" i="1" s="1"/>
  <c r="U305" i="1" l="1"/>
  <c r="V305" i="1" l="1"/>
  <c r="T306" i="1" s="1"/>
  <c r="U306" i="1" l="1"/>
  <c r="V306" i="1" s="1"/>
  <c r="T307" i="1" s="1"/>
  <c r="U307" i="1" l="1"/>
  <c r="V307" i="1" l="1"/>
  <c r="T308" i="1" s="1"/>
  <c r="U308" i="1" l="1"/>
  <c r="V308" i="1" s="1"/>
  <c r="T309" i="1" s="1"/>
  <c r="U309" i="1" l="1"/>
  <c r="V309" i="1" s="1"/>
  <c r="T310" i="1" s="1"/>
  <c r="U310" i="1" l="1"/>
  <c r="V310" i="1" l="1"/>
  <c r="T311" i="1" s="1"/>
  <c r="U311" i="1" l="1"/>
  <c r="V311" i="1" s="1"/>
  <c r="T312" i="1" l="1"/>
  <c r="U312" i="1" s="1"/>
  <c r="V312" i="1" s="1"/>
  <c r="T313" i="1" s="1"/>
  <c r="U313" i="1" l="1"/>
  <c r="V313" i="1" l="1"/>
  <c r="T314" i="1" s="1"/>
  <c r="U314" i="1" l="1"/>
  <c r="V314" i="1" s="1"/>
  <c r="T315" i="1" s="1"/>
  <c r="U315" i="1" l="1"/>
  <c r="V315" i="1" s="1"/>
  <c r="T316" i="1" s="1"/>
  <c r="U316" i="1" l="1"/>
  <c r="V316" i="1" s="1"/>
  <c r="T317" i="1" s="1"/>
  <c r="U317" i="1" l="1"/>
  <c r="V317" i="1" s="1"/>
  <c r="T318" i="1" s="1"/>
  <c r="U318" i="1" l="1"/>
  <c r="V318" i="1" l="1"/>
  <c r="T319" i="1" s="1"/>
  <c r="U319" i="1" l="1"/>
  <c r="V319" i="1" s="1"/>
  <c r="T320" i="1" s="1"/>
  <c r="U320" i="1" l="1"/>
  <c r="V320" i="1" s="1"/>
  <c r="T321" i="1" l="1"/>
  <c r="U321" i="1" s="1"/>
  <c r="V321" i="1" s="1"/>
  <c r="T322" i="1" s="1"/>
  <c r="U322" i="1" l="1"/>
  <c r="V322" i="1" s="1"/>
  <c r="T323" i="1" s="1"/>
  <c r="U323" i="1" l="1"/>
  <c r="V323" i="1" s="1"/>
  <c r="T324" i="1" s="1"/>
  <c r="U324" i="1" l="1"/>
  <c r="V324" i="1" s="1"/>
  <c r="T325" i="1" s="1"/>
  <c r="U325" i="1" l="1"/>
  <c r="V325" i="1" l="1"/>
  <c r="T326" i="1" s="1"/>
  <c r="U326" i="1" l="1"/>
  <c r="V326" i="1" l="1"/>
  <c r="T327" i="1" s="1"/>
  <c r="U327" i="1" l="1"/>
  <c r="V327" i="1" l="1"/>
  <c r="T328" i="1" s="1"/>
  <c r="U328" i="1" l="1"/>
  <c r="V328" i="1" l="1"/>
  <c r="T329" i="1" s="1"/>
  <c r="U329" i="1" l="1"/>
  <c r="V329" i="1" l="1"/>
  <c r="T330" i="1" s="1"/>
  <c r="U330" i="1" l="1"/>
  <c r="V330" i="1" l="1"/>
  <c r="T331" i="1" s="1"/>
  <c r="U331" i="1" l="1"/>
  <c r="V331" i="1" l="1"/>
  <c r="T332" i="1" s="1"/>
  <c r="U332" i="1" l="1"/>
  <c r="V332" i="1" l="1"/>
  <c r="T333" i="1" s="1"/>
  <c r="U333" i="1" l="1"/>
  <c r="V333" i="1" l="1"/>
  <c r="T334" i="1" s="1"/>
  <c r="U334" i="1" l="1"/>
  <c r="V334" i="1" l="1"/>
  <c r="T335" i="1" s="1"/>
  <c r="U335" i="1" l="1"/>
  <c r="V335" i="1" s="1"/>
  <c r="T336" i="1" s="1"/>
  <c r="U336" i="1" l="1"/>
  <c r="V336" i="1" s="1"/>
  <c r="T337" i="1" s="1"/>
  <c r="U337" i="1" l="1"/>
  <c r="V337" i="1" l="1"/>
  <c r="T338" i="1" s="1"/>
  <c r="U338" i="1" l="1"/>
  <c r="V338" i="1" s="1"/>
  <c r="T339" i="1" s="1"/>
  <c r="U339" i="1" l="1"/>
  <c r="V339" i="1" s="1"/>
  <c r="T340" i="1" s="1"/>
  <c r="U340" i="1" l="1"/>
  <c r="V340" i="1" l="1"/>
  <c r="T341" i="1" s="1"/>
  <c r="U341" i="1" l="1"/>
  <c r="V341" i="1" s="1"/>
  <c r="T342" i="1" s="1"/>
  <c r="U342" i="1" l="1"/>
  <c r="V342" i="1" s="1"/>
  <c r="T343" i="1" s="1"/>
  <c r="U343" i="1" l="1"/>
  <c r="V343" i="1" l="1"/>
  <c r="T344" i="1" s="1"/>
  <c r="U344" i="1" l="1"/>
  <c r="V344" i="1" s="1"/>
  <c r="T345" i="1" s="1"/>
  <c r="U345" i="1" l="1"/>
  <c r="V345" i="1" s="1"/>
  <c r="T346" i="1" s="1"/>
  <c r="U346" i="1" l="1"/>
  <c r="V346" i="1" l="1"/>
  <c r="T347" i="1" s="1"/>
  <c r="U347" i="1" l="1"/>
  <c r="V347" i="1" l="1"/>
  <c r="T348" i="1" s="1"/>
  <c r="U348" i="1" l="1"/>
  <c r="V348" i="1" l="1"/>
  <c r="T349" i="1" s="1"/>
  <c r="U349" i="1" l="1"/>
  <c r="V349" i="1" s="1"/>
  <c r="T350" i="1" s="1"/>
  <c r="U350" i="1" l="1"/>
  <c r="V350" i="1" l="1"/>
  <c r="T351" i="1" s="1"/>
  <c r="U351" i="1" l="1"/>
  <c r="V351" i="1" l="1"/>
  <c r="T352" i="1" s="1"/>
  <c r="U352" i="1" l="1"/>
  <c r="V352" i="1" l="1"/>
  <c r="T353" i="1" s="1"/>
  <c r="U353" i="1" l="1"/>
  <c r="V353" i="1" s="1"/>
  <c r="T354" i="1" s="1"/>
  <c r="U354" i="1" l="1"/>
  <c r="V354" i="1" s="1"/>
  <c r="T355" i="1" s="1"/>
  <c r="U355" i="1" l="1"/>
  <c r="V355" i="1" s="1"/>
  <c r="T356" i="1" s="1"/>
  <c r="U356" i="1" l="1"/>
  <c r="V356" i="1" s="1"/>
  <c r="T357" i="1" s="1"/>
  <c r="U357" i="1" l="1"/>
  <c r="V357" i="1" l="1"/>
  <c r="T358" i="1" s="1"/>
  <c r="U358" i="1" l="1"/>
  <c r="V358" i="1" l="1"/>
  <c r="T359" i="1" s="1"/>
  <c r="U359" i="1" l="1"/>
  <c r="V359" i="1" s="1"/>
  <c r="T360" i="1" s="1"/>
  <c r="U360" i="1" l="1"/>
  <c r="V360" i="1" l="1"/>
  <c r="T361" i="1" s="1"/>
  <c r="U361" i="1" l="1"/>
  <c r="V361" i="1" s="1"/>
  <c r="T362" i="1" s="1"/>
  <c r="U362" i="1" l="1"/>
  <c r="V362" i="1" l="1"/>
  <c r="T363" i="1" s="1"/>
  <c r="U363" i="1" l="1"/>
  <c r="V363" i="1" s="1"/>
  <c r="T364" i="1" s="1"/>
  <c r="U364" i="1" l="1"/>
  <c r="V364" i="1" s="1"/>
  <c r="T365" i="1" s="1"/>
  <c r="U365" i="1" l="1"/>
  <c r="V365" i="1" s="1"/>
  <c r="T366" i="1" s="1"/>
  <c r="U366" i="1" l="1"/>
  <c r="V366" i="1" l="1"/>
  <c r="T367" i="1" l="1"/>
  <c r="U367" i="1" s="1"/>
  <c r="V367" i="1" s="1"/>
  <c r="T368" i="1" s="1"/>
  <c r="U368" i="1" l="1"/>
  <c r="V368" i="1" s="1"/>
  <c r="T369" i="1" s="1"/>
  <c r="U369" i="1" l="1"/>
  <c r="V369" i="1" s="1"/>
  <c r="T370" i="1" s="1"/>
  <c r="U370" i="1" l="1"/>
  <c r="V370" i="1" s="1"/>
  <c r="T371" i="1" s="1"/>
  <c r="U371" i="1" l="1"/>
  <c r="V371" i="1" l="1"/>
  <c r="T372" i="1" s="1"/>
  <c r="U372" i="1" l="1"/>
  <c r="V372" i="1" l="1"/>
  <c r="T373" i="1" s="1"/>
  <c r="U373" i="1" l="1"/>
  <c r="V373" i="1" l="1"/>
  <c r="T374" i="1" s="1"/>
  <c r="U374" i="1" l="1"/>
  <c r="V374" i="1" s="1"/>
  <c r="T375" i="1" s="1"/>
  <c r="U375" i="1" l="1"/>
  <c r="V375" i="1" l="1"/>
  <c r="T376" i="1" s="1"/>
  <c r="U376" i="1" l="1"/>
  <c r="V376" i="1" l="1"/>
  <c r="T377" i="1" s="1"/>
  <c r="U377" i="1" l="1"/>
  <c r="V377" i="1" l="1"/>
  <c r="T378" i="1" s="1"/>
  <c r="U378" i="1" l="1"/>
  <c r="V378" i="1" s="1"/>
  <c r="T379" i="1" s="1"/>
  <c r="U379" i="1" l="1"/>
  <c r="V379" i="1" s="1"/>
  <c r="T380" i="1" s="1"/>
  <c r="U380" i="1" l="1"/>
  <c r="V380" i="1" l="1"/>
  <c r="T381" i="1" s="1"/>
  <c r="U381" i="1" l="1"/>
  <c r="V381" i="1" s="1"/>
  <c r="T382" i="1" s="1"/>
  <c r="U382" i="1" l="1"/>
  <c r="V382" i="1" s="1"/>
  <c r="T383" i="1" s="1"/>
  <c r="U383" i="1" l="1"/>
  <c r="V383" i="1" s="1"/>
  <c r="T384" i="1" s="1"/>
  <c r="U384" i="1" l="1"/>
  <c r="V384" i="1" s="1"/>
  <c r="T385" i="1" s="1"/>
  <c r="U385" i="1" l="1"/>
  <c r="V385" i="1" l="1"/>
  <c r="T386" i="1" s="1"/>
  <c r="U386" i="1" l="1"/>
  <c r="V386" i="1" l="1"/>
  <c r="T387" i="1" s="1"/>
  <c r="U387" i="1" l="1"/>
  <c r="V387" i="1" l="1"/>
  <c r="T388" i="1" s="1"/>
  <c r="U388" i="1" l="1"/>
  <c r="V388" i="1" s="1"/>
  <c r="T389" i="1" s="1"/>
  <c r="U389" i="1" l="1"/>
  <c r="V389" i="1" s="1"/>
  <c r="T390" i="1" s="1"/>
  <c r="U390" i="1" l="1"/>
  <c r="V390" i="1" l="1"/>
  <c r="T391" i="1" s="1"/>
  <c r="U391" i="1" l="1"/>
  <c r="V391" i="1" s="1"/>
  <c r="T392" i="1" l="1"/>
  <c r="U392" i="1" s="1"/>
  <c r="V392" i="1" s="1"/>
  <c r="T393" i="1" s="1"/>
  <c r="U393" i="1" l="1"/>
  <c r="V393" i="1" s="1"/>
  <c r="T394" i="1" s="1"/>
  <c r="U394" i="1" l="1"/>
  <c r="V394" i="1" s="1"/>
  <c r="T395" i="1" s="1"/>
  <c r="U395" i="1" l="1"/>
  <c r="V395" i="1" l="1"/>
  <c r="T396" i="1" s="1"/>
  <c r="U396" i="1" l="1"/>
  <c r="V396" i="1" l="1"/>
  <c r="T397" i="1" s="1"/>
  <c r="U397" i="1" l="1"/>
  <c r="V397" i="1" l="1"/>
  <c r="T398" i="1" s="1"/>
  <c r="U398" i="1" l="1"/>
  <c r="V398" i="1" l="1"/>
  <c r="T399" i="1" s="1"/>
  <c r="U399" i="1" l="1"/>
  <c r="V399" i="1" l="1"/>
  <c r="T400" i="1" s="1"/>
  <c r="U400" i="1" l="1"/>
  <c r="V400" i="1" l="1"/>
  <c r="T401" i="1" s="1"/>
  <c r="U401" i="1" l="1"/>
  <c r="V401" i="1" l="1"/>
  <c r="T402" i="1" s="1"/>
  <c r="U402" i="1" l="1"/>
  <c r="V402" i="1" s="1"/>
  <c r="T403" i="1" s="1"/>
  <c r="U403" i="1" l="1"/>
  <c r="V403" i="1" l="1"/>
  <c r="T404" i="1" s="1"/>
  <c r="U404" i="1" l="1"/>
  <c r="V404" i="1" l="1"/>
  <c r="T405" i="1" s="1"/>
  <c r="U405" i="1" l="1"/>
  <c r="V405" i="1" l="1"/>
  <c r="T406" i="1" s="1"/>
  <c r="U406" i="1" l="1"/>
  <c r="V406" i="1" s="1"/>
  <c r="T407" i="1" s="1"/>
  <c r="U407" i="1" l="1"/>
  <c r="V407" i="1" l="1"/>
  <c r="T408" i="1" s="1"/>
  <c r="U408" i="1" l="1"/>
  <c r="V408" i="1" l="1"/>
  <c r="T409" i="1" s="1"/>
  <c r="U409" i="1" l="1"/>
  <c r="V409" i="1" l="1"/>
  <c r="T410" i="1" s="1"/>
  <c r="U410" i="1" l="1"/>
  <c r="V410" i="1" l="1"/>
  <c r="T411" i="1" s="1"/>
  <c r="U411" i="1" l="1"/>
  <c r="V411" i="1" l="1"/>
  <c r="T412" i="1" s="1"/>
  <c r="U412" i="1" l="1"/>
  <c r="V412" i="1" l="1"/>
  <c r="T413" i="1" s="1"/>
  <c r="U413" i="1" l="1"/>
  <c r="V413" i="1" l="1"/>
  <c r="T414" i="1" s="1"/>
  <c r="U414" i="1" l="1"/>
  <c r="V414" i="1" l="1"/>
  <c r="T415" i="1" s="1"/>
  <c r="U415" i="1" l="1"/>
  <c r="V415" i="1" l="1"/>
  <c r="T416" i="1" s="1"/>
  <c r="U416" i="1" l="1"/>
  <c r="V416" i="1" l="1"/>
  <c r="T417" i="1" s="1"/>
  <c r="U417" i="1" l="1"/>
  <c r="V417" i="1" s="1"/>
  <c r="T418" i="1" s="1"/>
  <c r="U418" i="1" l="1"/>
  <c r="V418" i="1" l="1"/>
  <c r="T419" i="1" s="1"/>
  <c r="U419" i="1" l="1"/>
  <c r="V419" i="1" s="1"/>
  <c r="T420" i="1" s="1"/>
  <c r="U420" i="1" l="1"/>
  <c r="V420" i="1" s="1"/>
  <c r="T421" i="1" s="1"/>
  <c r="U421" i="1" l="1"/>
  <c r="V421" i="1" l="1"/>
  <c r="T422" i="1" s="1"/>
  <c r="U422" i="1" l="1"/>
  <c r="V422" i="1" s="1"/>
  <c r="T423" i="1" s="1"/>
  <c r="U423" i="1" l="1"/>
  <c r="V423" i="1" s="1"/>
  <c r="T424" i="1" s="1"/>
  <c r="U424" i="1" l="1"/>
  <c r="V424" i="1" s="1"/>
  <c r="T425" i="1" s="1"/>
  <c r="U425" i="1" l="1"/>
  <c r="V425" i="1" s="1"/>
  <c r="T426" i="1" s="1"/>
  <c r="U426" i="1" l="1"/>
  <c r="V426" i="1" s="1"/>
  <c r="T427" i="1" s="1"/>
  <c r="U427" i="1" l="1"/>
  <c r="V427" i="1" s="1"/>
  <c r="T428" i="1" s="1"/>
  <c r="U428" i="1" l="1"/>
  <c r="V428" i="1" s="1"/>
  <c r="T429" i="1" s="1"/>
  <c r="U429" i="1" l="1"/>
  <c r="V429" i="1" s="1"/>
  <c r="T430" i="1" s="1"/>
  <c r="U430" i="1" l="1"/>
  <c r="V430" i="1" s="1"/>
  <c r="T431" i="1" s="1"/>
  <c r="U431" i="1" l="1"/>
  <c r="V431" i="1" s="1"/>
</calcChain>
</file>

<file path=xl/sharedStrings.xml><?xml version="1.0" encoding="utf-8"?>
<sst xmlns="http://schemas.openxmlformats.org/spreadsheetml/2006/main" count="105" uniqueCount="58">
  <si>
    <t>DATE</t>
  </si>
  <si>
    <t>TIME</t>
  </si>
  <si>
    <t>OPEN</t>
  </si>
  <si>
    <t>HIGH</t>
  </si>
  <si>
    <t>LOW</t>
  </si>
  <si>
    <t>CLOSE</t>
  </si>
  <si>
    <t>VOL</t>
  </si>
  <si>
    <t>ATR</t>
  </si>
  <si>
    <t>CANDLE_COLOR</t>
  </si>
  <si>
    <t>PREV_CANDLE_COLOR</t>
  </si>
  <si>
    <t>SL_SIZE</t>
  </si>
  <si>
    <t>TP_SIZE</t>
  </si>
  <si>
    <t>PROFIT_LONG</t>
  </si>
  <si>
    <t>PROFIT_SHORT</t>
  </si>
  <si>
    <t>TOTAL_PROFIT</t>
  </si>
  <si>
    <t>№</t>
  </si>
  <si>
    <t>Дата</t>
  </si>
  <si>
    <t>SL Size</t>
  </si>
  <si>
    <t>TP Size</t>
  </si>
  <si>
    <t>Direction</t>
  </si>
  <si>
    <t>Open Price</t>
  </si>
  <si>
    <t>SL</t>
  </si>
  <si>
    <t>TP</t>
  </si>
  <si>
    <t>Close Price</t>
  </si>
  <si>
    <t>Financial result</t>
  </si>
  <si>
    <t>long</t>
  </si>
  <si>
    <t>short</t>
  </si>
  <si>
    <t>Total</t>
  </si>
  <si>
    <t>Winrate</t>
  </si>
  <si>
    <t>profit_w_comm</t>
  </si>
  <si>
    <t>year</t>
  </si>
  <si>
    <t>month</t>
  </si>
  <si>
    <t>Общий итог</t>
  </si>
  <si>
    <t>2023 Итог</t>
  </si>
  <si>
    <t>2024 Итог</t>
  </si>
  <si>
    <t>pos_size</t>
  </si>
  <si>
    <t>START</t>
  </si>
  <si>
    <t>total_profit</t>
  </si>
  <si>
    <t>final_balance</t>
  </si>
  <si>
    <t>RISK</t>
  </si>
  <si>
    <t>Сумма по полю total_profit2</t>
  </si>
  <si>
    <t>WINRATE</t>
  </si>
  <si>
    <t>Винрейт</t>
  </si>
  <si>
    <t>Risk 1%</t>
  </si>
  <si>
    <t>Risk 2%</t>
  </si>
  <si>
    <t>PROFIT_Si</t>
  </si>
  <si>
    <t>PROFIT_Eu</t>
  </si>
  <si>
    <t>PROFIT_MOEX</t>
  </si>
  <si>
    <t>MULT_Si</t>
  </si>
  <si>
    <t>MULT_Eu</t>
  </si>
  <si>
    <t>MULT_MOEX</t>
  </si>
  <si>
    <t>PROFIT_SBRF</t>
  </si>
  <si>
    <t>MULT_SBRF</t>
  </si>
  <si>
    <t>PROFIT_GAZR</t>
  </si>
  <si>
    <t>MULT_GAZR</t>
  </si>
  <si>
    <t>Итоговый винрейт</t>
  </si>
  <si>
    <t>Стартовый капитал</t>
  </si>
  <si>
    <t>CUMULATIVE_PROFIT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</si>
</sst>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yyyy\-mm\-dd\ hh:mm:ss"/>
    <numFmt numFmtId="165" formatCode="_-* #,##0_-;\-* #,##0_-;_-* &quot;-&quot;??_-;_-@_-"/>
    <numFmt numFmtId="166" formatCode="#,##0.00_ ;\-#,##0.00\ "/>
    <numFmt numFmtId="167" formatCode="0.0%"/>
    <numFmt numFmtId="168" formatCode="_-* #,##0.00\ _₽_-;\-* #,##0.00\ _₽_-;_-* &quot;-&quot;??\ _₽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165" fontId="0" fillId="0" borderId="0" xfId="0" applyNumberFormat="1"/>
    <xf numFmtId="10" fontId="0" fillId="0" borderId="0" xfId="2" applyNumberFormat="1" applyFont="1"/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165" fontId="1" fillId="0" borderId="2" xfId="1" applyNumberFormat="1" applyFont="1" applyFill="1" applyBorder="1" applyAlignment="1">
      <alignment horizontal="center" vertical="top"/>
    </xf>
    <xf numFmtId="165" fontId="1" fillId="0" borderId="0" xfId="1" applyNumberFormat="1" applyFont="1" applyFill="1" applyBorder="1" applyAlignment="1">
      <alignment horizontal="center" vertical="top"/>
    </xf>
    <xf numFmtId="3" fontId="0" fillId="0" borderId="0" xfId="0" applyNumberFormat="1"/>
    <xf numFmtId="0" fontId="3" fillId="0" borderId="0" xfId="0" applyFont="1"/>
    <xf numFmtId="0" fontId="1" fillId="0" borderId="0" xfId="0" applyFont="1" applyFill="1" applyBorder="1" applyAlignment="1">
      <alignment horizontal="left" vertical="top"/>
    </xf>
    <xf numFmtId="0" fontId="3" fillId="2" borderId="0" xfId="0" applyFont="1" applyFill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167" fontId="0" fillId="0" borderId="0" xfId="2" applyNumberFormat="1" applyFont="1"/>
    <xf numFmtId="0" fontId="5" fillId="0" borderId="0" xfId="0" applyFont="1" applyBorder="1" applyAlignment="1">
      <alignment horizontal="center" vertical="top"/>
    </xf>
    <xf numFmtId="43" fontId="0" fillId="0" borderId="0" xfId="1" applyFont="1"/>
    <xf numFmtId="168" fontId="0" fillId="0" borderId="0" xfId="0" applyNumberForma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ладимир Иванов" refreshedDate="45595.89113113426" createdVersion="7" refreshedVersion="7" minRefreshableVersion="3" recordCount="430" xr:uid="{77593D0C-E178-4539-8840-9BB13C2F09A8}">
  <cacheSource type="worksheet">
    <worksheetSource ref="B1:V431" sheet="Sheet1"/>
  </cacheSource>
  <cacheFields count="21">
    <cacheField name="DATE" numFmtId="164">
      <sharedItems containsSemiMixedTypes="0" containsNonDate="0" containsDate="1" containsString="0" minDate="2023-01-23T00:00:00" maxDate="2024-10-01T00:00:00"/>
    </cacheField>
    <cacheField name="TIME" numFmtId="0">
      <sharedItems containsSemiMixedTypes="0" containsString="0" containsNumber="1" containsInteger="1" minValue="0" maxValue="0"/>
    </cacheField>
    <cacheField name="OPEN" numFmtId="0">
      <sharedItems containsSemiMixedTypes="0" containsString="0" containsNumber="1" containsInteger="1" minValue="69498" maxValue="101229"/>
    </cacheField>
    <cacheField name="HIGH" numFmtId="0">
      <sharedItems containsSemiMixedTypes="0" containsString="0" containsNumber="1" containsInteger="1" minValue="69791" maxValue="102577"/>
    </cacheField>
    <cacheField name="LOW" numFmtId="0">
      <sharedItems containsSemiMixedTypes="0" containsString="0" containsNumber="1" containsInteger="1" minValue="68921" maxValue="99807"/>
    </cacheField>
    <cacheField name="CLOSE" numFmtId="0">
      <sharedItems containsSemiMixedTypes="0" containsString="0" containsNumber="1" containsInteger="1" minValue="69570" maxValue="101189"/>
    </cacheField>
    <cacheField name="VOL" numFmtId="0">
      <sharedItems containsSemiMixedTypes="0" containsString="0" containsNumber="1" containsInteger="1" minValue="305076" maxValue="2902483"/>
    </cacheField>
    <cacheField name="ATR" numFmtId="0">
      <sharedItems containsSemiMixedTypes="0" containsString="0" containsNumber="1" minValue="731.15" maxValue="2170.89"/>
    </cacheField>
    <cacheField name="CANDLE_COLOR" numFmtId="0">
      <sharedItems containsSemiMixedTypes="0" containsString="0" containsNumber="1" containsInteger="1" minValue="0" maxValue="1"/>
    </cacheField>
    <cacheField name="PREV_CANDLE_COLOR" numFmtId="0">
      <sharedItems containsSemiMixedTypes="0" containsString="0" containsNumber="1" containsInteger="1" minValue="0" maxValue="1"/>
    </cacheField>
    <cacheField name="SL_SIZE" numFmtId="0">
      <sharedItems containsSemiMixedTypes="0" containsString="0" containsNumber="1" containsInteger="1" minValue="244" maxValue="724"/>
    </cacheField>
    <cacheField name="TP_SIZE" numFmtId="0">
      <sharedItems containsSemiMixedTypes="0" containsString="0" containsNumber="1" containsInteger="1" minValue="487" maxValue="1447"/>
    </cacheField>
    <cacheField name="PROFIT_LONG" numFmtId="0">
      <sharedItems containsSemiMixedTypes="0" containsString="0" containsNumber="1" containsInteger="1" minValue="-548" maxValue="1246"/>
    </cacheField>
    <cacheField name="PROFIT_SHORT" numFmtId="0">
      <sharedItems containsSemiMixedTypes="0" containsString="0" containsNumber="1" containsInteger="1" minValue="-961" maxValue="1355"/>
    </cacheField>
    <cacheField name="TOTAL_PROFIT" numFmtId="0">
      <sharedItems containsSemiMixedTypes="0" containsString="0" containsNumber="1" containsInteger="1" minValue="-961" maxValue="1355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profit_w_comm" numFmtId="165">
      <sharedItems containsSemiMixedTypes="0" containsString="0" containsNumber="1" containsInteger="1" minValue="-971" maxValue="1345"/>
    </cacheField>
    <cacheField name="pos_size" numFmtId="0">
      <sharedItems containsSemiMixedTypes="0" containsString="0" containsNumber="1" containsInteger="1" minValue="3" maxValue="45"/>
    </cacheField>
    <cacheField name="total_profit2" numFmtId="165">
      <sharedItems containsSemiMixedTypes="0" containsString="0" containsNumber="1" containsInteger="1" minValue="-20391" maxValue="29725"/>
    </cacheField>
    <cacheField name="final_balance" numFmtId="165">
      <sharedItems containsSemiMixedTypes="0" containsString="0" containsNumber="1" containsInteger="1" minValue="156926" maxValue="16076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">
  <r>
    <d v="2023-01-23T00:00:00"/>
    <n v="0"/>
    <n v="69498"/>
    <n v="69945"/>
    <n v="68921"/>
    <n v="69799"/>
    <n v="967899"/>
    <n v="1266.82"/>
    <n v="1"/>
    <n v="1"/>
    <n v="428"/>
    <n v="857"/>
    <n v="327"/>
    <n v="0"/>
    <n v="327"/>
    <x v="0"/>
    <x v="0"/>
    <n v="317"/>
    <n v="3"/>
    <n v="951"/>
    <n v="160951"/>
  </r>
  <r>
    <d v="2023-01-24T00:00:00"/>
    <n v="0"/>
    <n v="69790"/>
    <n v="69791"/>
    <n v="69364"/>
    <n v="69570"/>
    <n v="658238"/>
    <n v="1207.4100000000001"/>
    <n v="0"/>
    <n v="1"/>
    <n v="422"/>
    <n v="845"/>
    <n v="-233"/>
    <n v="0"/>
    <n v="-233"/>
    <x v="0"/>
    <x v="0"/>
    <n v="-243"/>
    <n v="3"/>
    <n v="-729"/>
    <n v="160222"/>
  </r>
  <r>
    <d v="2023-01-25T00:00:00"/>
    <n v="0"/>
    <n v="69570"/>
    <n v="69987"/>
    <n v="69421"/>
    <n v="69857"/>
    <n v="767748"/>
    <n v="1161.5899999999999"/>
    <n v="1"/>
    <n v="0"/>
    <n v="402"/>
    <n v="805"/>
    <n v="0"/>
    <n v="-230"/>
    <n v="-230"/>
    <x v="0"/>
    <x v="0"/>
    <n v="-240"/>
    <n v="3"/>
    <n v="-720"/>
    <n v="159502"/>
  </r>
  <r>
    <d v="2023-01-26T00:00:00"/>
    <n v="0"/>
    <n v="69857"/>
    <n v="70266"/>
    <n v="69276"/>
    <n v="69670"/>
    <n v="1189573"/>
    <n v="1149.33"/>
    <n v="0"/>
    <n v="1"/>
    <n v="387"/>
    <n v="774"/>
    <n v="-242"/>
    <n v="0"/>
    <n v="-242"/>
    <x v="0"/>
    <x v="0"/>
    <n v="-252"/>
    <n v="4"/>
    <n v="-1008"/>
    <n v="158494"/>
  </r>
  <r>
    <d v="2023-01-27T00:00:00"/>
    <n v="0"/>
    <n v="69675"/>
    <n v="70175"/>
    <n v="69649"/>
    <n v="70050"/>
    <n v="821428"/>
    <n v="1104.81"/>
    <n v="1"/>
    <n v="0"/>
    <n v="383"/>
    <n v="766"/>
    <n v="0"/>
    <n v="-382"/>
    <n v="-382"/>
    <x v="0"/>
    <x v="0"/>
    <n v="-392"/>
    <n v="4"/>
    <n v="-1568"/>
    <n v="156926"/>
  </r>
  <r>
    <d v="2023-01-30T00:00:00"/>
    <n v="0"/>
    <n v="70069"/>
    <n v="71320"/>
    <n v="69911"/>
    <n v="71304"/>
    <n v="898051"/>
    <n v="1126.54"/>
    <n v="1"/>
    <n v="1"/>
    <n v="368"/>
    <n v="737"/>
    <n v="737"/>
    <n v="0"/>
    <n v="737"/>
    <x v="0"/>
    <x v="0"/>
    <n v="727"/>
    <n v="4"/>
    <n v="2908"/>
    <n v="159834"/>
  </r>
  <r>
    <d v="2023-01-31T00:00:00"/>
    <n v="0"/>
    <n v="71314"/>
    <n v="71525"/>
    <n v="70555"/>
    <n v="70597"/>
    <n v="1274234"/>
    <n v="1115.3599999999999"/>
    <n v="0"/>
    <n v="1"/>
    <n v="376"/>
    <n v="751"/>
    <n v="376"/>
    <n v="0"/>
    <n v="376"/>
    <x v="0"/>
    <x v="0"/>
    <n v="366"/>
    <n v="4"/>
    <n v="1464"/>
    <n v="161298"/>
  </r>
  <r>
    <d v="2023-02-01T00:00:00"/>
    <n v="0"/>
    <n v="70599"/>
    <n v="71103"/>
    <n v="70505"/>
    <n v="70610"/>
    <n v="781263"/>
    <n v="1078.4000000000001"/>
    <n v="1"/>
    <n v="0"/>
    <n v="372"/>
    <n v="744"/>
    <n v="0"/>
    <n v="-109"/>
    <n v="-109"/>
    <x v="0"/>
    <x v="1"/>
    <n v="-119"/>
    <n v="4"/>
    <n v="-476"/>
    <n v="160822"/>
  </r>
  <r>
    <d v="2023-02-02T00:00:00"/>
    <n v="0"/>
    <n v="70620"/>
    <n v="71293"/>
    <n v="70383"/>
    <n v="70973"/>
    <n v="849914"/>
    <n v="1066.3699999999999"/>
    <n v="1"/>
    <n v="1"/>
    <n v="359"/>
    <n v="719"/>
    <n v="234"/>
    <n v="0"/>
    <n v="234"/>
    <x v="0"/>
    <x v="1"/>
    <n v="224"/>
    <n v="4"/>
    <n v="896"/>
    <n v="161718"/>
  </r>
  <r>
    <d v="2023-02-03T00:00:00"/>
    <n v="0"/>
    <n v="70974"/>
    <n v="71563"/>
    <n v="70907"/>
    <n v="71312"/>
    <n v="916534"/>
    <n v="1037.06"/>
    <n v="1"/>
    <n v="1"/>
    <n v="355"/>
    <n v="711"/>
    <n v="356"/>
    <n v="0"/>
    <n v="356"/>
    <x v="0"/>
    <x v="1"/>
    <n v="346"/>
    <n v="4"/>
    <n v="1384"/>
    <n v="163102"/>
  </r>
  <r>
    <d v="2023-02-06T00:00:00"/>
    <n v="0"/>
    <n v="71340"/>
    <n v="71834"/>
    <n v="71001"/>
    <n v="71796"/>
    <n v="638451"/>
    <n v="1022.49"/>
    <n v="1"/>
    <n v="1"/>
    <n v="346"/>
    <n v="691"/>
    <n v="449"/>
    <n v="0"/>
    <n v="449"/>
    <x v="0"/>
    <x v="1"/>
    <n v="439"/>
    <n v="4"/>
    <n v="1756"/>
    <n v="164858"/>
  </r>
  <r>
    <d v="2023-02-07T00:00:00"/>
    <n v="0"/>
    <n v="71785"/>
    <n v="71909"/>
    <n v="71338"/>
    <n v="71450"/>
    <n v="723791"/>
    <n v="990.24"/>
    <n v="0"/>
    <n v="1"/>
    <n v="341"/>
    <n v="682"/>
    <n v="-306"/>
    <n v="0"/>
    <n v="-306"/>
    <x v="0"/>
    <x v="1"/>
    <n v="-316"/>
    <n v="4"/>
    <n v="-1264"/>
    <n v="163594"/>
  </r>
  <r>
    <d v="2023-02-08T00:00:00"/>
    <n v="0"/>
    <n v="71466"/>
    <n v="72778"/>
    <n v="71466"/>
    <n v="72750"/>
    <n v="1147927"/>
    <n v="1014.36"/>
    <n v="1"/>
    <n v="0"/>
    <n v="330"/>
    <n v="660"/>
    <n v="0"/>
    <n v="330"/>
    <n v="330"/>
    <x v="0"/>
    <x v="1"/>
    <n v="320"/>
    <n v="4"/>
    <n v="1280"/>
    <n v="164874"/>
  </r>
  <r>
    <d v="2023-02-09T00:00:00"/>
    <n v="0"/>
    <n v="72770"/>
    <n v="73485"/>
    <n v="72703"/>
    <n v="72950"/>
    <n v="1311020"/>
    <n v="997.77"/>
    <n v="1"/>
    <n v="1"/>
    <n v="338"/>
    <n v="676"/>
    <n v="179"/>
    <n v="0"/>
    <n v="179"/>
    <x v="0"/>
    <x v="1"/>
    <n v="169"/>
    <n v="4"/>
    <n v="676"/>
    <n v="165550"/>
  </r>
  <r>
    <d v="2023-02-10T00:00:00"/>
    <n v="0"/>
    <n v="72925"/>
    <n v="73340"/>
    <n v="72327"/>
    <n v="72799"/>
    <n v="1294437"/>
    <n v="998.85"/>
    <n v="0"/>
    <n v="1"/>
    <n v="333"/>
    <n v="665"/>
    <n v="114"/>
    <n v="0"/>
    <n v="114"/>
    <x v="0"/>
    <x v="1"/>
    <n v="104"/>
    <n v="4"/>
    <n v="416"/>
    <n v="165966"/>
  </r>
  <r>
    <d v="2023-02-13T00:00:00"/>
    <n v="0"/>
    <n v="72821"/>
    <n v="73400"/>
    <n v="72776"/>
    <n v="73094"/>
    <n v="1027257"/>
    <n v="972.08"/>
    <n v="1"/>
    <n v="0"/>
    <n v="333"/>
    <n v="666"/>
    <n v="0"/>
    <n v="-260"/>
    <n v="-260"/>
    <x v="0"/>
    <x v="1"/>
    <n v="-270"/>
    <n v="4"/>
    <n v="-1080"/>
    <n v="164886"/>
  </r>
  <r>
    <d v="2023-02-14T00:00:00"/>
    <n v="0"/>
    <n v="73119"/>
    <n v="73467"/>
    <n v="72077"/>
    <n v="72850"/>
    <n v="1276179"/>
    <n v="1001.93"/>
    <n v="0"/>
    <n v="1"/>
    <n v="324"/>
    <n v="648"/>
    <n v="-309"/>
    <n v="0"/>
    <n v="-309"/>
    <x v="0"/>
    <x v="1"/>
    <n v="-319"/>
    <n v="5"/>
    <n v="-1595"/>
    <n v="163291"/>
  </r>
  <r>
    <d v="2023-02-15T00:00:00"/>
    <n v="0"/>
    <n v="72891"/>
    <n v="73716"/>
    <n v="72824"/>
    <n v="73510"/>
    <n v="1221564"/>
    <n v="994.08"/>
    <n v="1"/>
    <n v="0"/>
    <n v="334"/>
    <n v="668"/>
    <n v="0"/>
    <n v="-593"/>
    <n v="-593"/>
    <x v="0"/>
    <x v="1"/>
    <n v="-603"/>
    <n v="4"/>
    <n v="-2412"/>
    <n v="160879"/>
  </r>
  <r>
    <d v="2023-02-16T00:00:00"/>
    <n v="0"/>
    <n v="73510"/>
    <n v="74674"/>
    <n v="73433"/>
    <n v="74200"/>
    <n v="1471773"/>
    <n v="1011.72"/>
    <n v="1"/>
    <n v="1"/>
    <n v="331"/>
    <n v="663"/>
    <n v="663"/>
    <n v="0"/>
    <n v="663"/>
    <x v="0"/>
    <x v="1"/>
    <n v="653"/>
    <n v="4"/>
    <n v="2612"/>
    <n v="163491"/>
  </r>
  <r>
    <d v="2023-02-17T00:00:00"/>
    <n v="0"/>
    <n v="74200"/>
    <n v="74567"/>
    <n v="73050"/>
    <n v="73118"/>
    <n v="2143419"/>
    <n v="1047.81"/>
    <n v="0"/>
    <n v="1"/>
    <n v="337"/>
    <n v="674"/>
    <n v="337"/>
    <n v="0"/>
    <n v="337"/>
    <x v="0"/>
    <x v="1"/>
    <n v="327"/>
    <n v="4"/>
    <n v="1308"/>
    <n v="164799"/>
  </r>
  <r>
    <d v="2023-02-20T00:00:00"/>
    <n v="0"/>
    <n v="73075"/>
    <n v="74328"/>
    <n v="72560"/>
    <n v="74221"/>
    <n v="1274366"/>
    <n v="1099.25"/>
    <n v="1"/>
    <n v="0"/>
    <n v="349"/>
    <n v="699"/>
    <n v="0"/>
    <n v="349"/>
    <n v="349"/>
    <x v="0"/>
    <x v="1"/>
    <n v="339"/>
    <n v="4"/>
    <n v="1356"/>
    <n v="166155"/>
  </r>
  <r>
    <d v="2023-02-21T00:00:00"/>
    <n v="0"/>
    <n v="74212"/>
    <n v="74459"/>
    <n v="73400"/>
    <n v="74181"/>
    <n v="1147529"/>
    <n v="1096.3699999999999"/>
    <n v="0"/>
    <n v="1"/>
    <n v="366"/>
    <n v="733"/>
    <n v="-104"/>
    <n v="0"/>
    <n v="-104"/>
    <x v="0"/>
    <x v="1"/>
    <n v="-114"/>
    <n v="4"/>
    <n v="-456"/>
    <n v="165699"/>
  </r>
  <r>
    <d v="2023-02-22T00:00:00"/>
    <n v="0"/>
    <n v="74181"/>
    <n v="74777"/>
    <n v="73686"/>
    <n v="74636"/>
    <n v="921377"/>
    <n v="1095.99"/>
    <n v="1"/>
    <n v="0"/>
    <n v="365"/>
    <n v="731"/>
    <n v="0"/>
    <n v="-461"/>
    <n v="-461"/>
    <x v="0"/>
    <x v="1"/>
    <n v="-471"/>
    <n v="4"/>
    <n v="-1884"/>
    <n v="163815"/>
  </r>
  <r>
    <d v="2023-02-24T00:00:00"/>
    <n v="0"/>
    <n v="74648"/>
    <n v="75784"/>
    <n v="73973"/>
    <n v="75576"/>
    <n v="1068293"/>
    <n v="1147.06"/>
    <n v="1"/>
    <n v="1"/>
    <n v="365"/>
    <n v="731"/>
    <n v="731"/>
    <n v="0"/>
    <n v="731"/>
    <x v="0"/>
    <x v="1"/>
    <n v="721"/>
    <n v="4"/>
    <n v="2884"/>
    <n v="166699"/>
  </r>
  <r>
    <d v="2023-02-27T00:00:00"/>
    <n v="0"/>
    <n v="75525"/>
    <n v="75525"/>
    <n v="73511"/>
    <n v="73626"/>
    <n v="1396546"/>
    <n v="1212.6300000000001"/>
    <n v="0"/>
    <n v="1"/>
    <n v="382"/>
    <n v="765"/>
    <n v="382"/>
    <n v="0"/>
    <n v="382"/>
    <x v="0"/>
    <x v="1"/>
    <n v="372"/>
    <n v="4"/>
    <n v="1488"/>
    <n v="168187"/>
  </r>
  <r>
    <d v="2023-02-28T00:00:00"/>
    <n v="0"/>
    <n v="73610"/>
    <n v="74364"/>
    <n v="73161"/>
    <n v="74226"/>
    <n v="1337125"/>
    <n v="1211.94"/>
    <n v="1"/>
    <n v="0"/>
    <n v="404"/>
    <n v="808"/>
    <n v="0"/>
    <n v="-562"/>
    <n v="-562"/>
    <x v="0"/>
    <x v="1"/>
    <n v="-572"/>
    <n v="4"/>
    <n v="-2288"/>
    <n v="165899"/>
  </r>
  <r>
    <d v="2023-03-01T00:00:00"/>
    <n v="0"/>
    <n v="74243"/>
    <n v="74810"/>
    <n v="74119"/>
    <n v="74690"/>
    <n v="1194562"/>
    <n v="1174.73"/>
    <n v="1"/>
    <n v="1"/>
    <n v="404"/>
    <n v="808"/>
    <n v="474"/>
    <n v="0"/>
    <n v="474"/>
    <x v="0"/>
    <x v="2"/>
    <n v="464"/>
    <n v="4"/>
    <n v="1856"/>
    <n v="167755"/>
  </r>
  <r>
    <d v="2023-03-02T00:00:00"/>
    <n v="0"/>
    <n v="74728"/>
    <n v="75414"/>
    <n v="74728"/>
    <n v="75093"/>
    <n v="911429"/>
    <n v="1142.54"/>
    <n v="1"/>
    <n v="1"/>
    <n v="392"/>
    <n v="783"/>
    <n v="202"/>
    <n v="0"/>
    <n v="202"/>
    <x v="0"/>
    <x v="2"/>
    <n v="192"/>
    <n v="4"/>
    <n v="768"/>
    <n v="168523"/>
  </r>
  <r>
    <d v="2023-03-03T00:00:00"/>
    <n v="0"/>
    <n v="75094"/>
    <n v="75380"/>
    <n v="74614"/>
    <n v="75209"/>
    <n v="878501"/>
    <n v="1115.6400000000001"/>
    <n v="1"/>
    <n v="1"/>
    <n v="381"/>
    <n v="762"/>
    <n v="184"/>
    <n v="0"/>
    <n v="184"/>
    <x v="0"/>
    <x v="2"/>
    <n v="174"/>
    <n v="4"/>
    <n v="696"/>
    <n v="169219"/>
  </r>
  <r>
    <d v="2023-03-06T00:00:00"/>
    <n v="0"/>
    <n v="75220"/>
    <n v="75635"/>
    <n v="74731"/>
    <n v="75084"/>
    <n v="1038241"/>
    <n v="1100.52"/>
    <n v="0"/>
    <n v="1"/>
    <n v="372"/>
    <n v="744"/>
    <n v="-95"/>
    <n v="0"/>
    <n v="-95"/>
    <x v="0"/>
    <x v="2"/>
    <n v="-105"/>
    <n v="4"/>
    <n v="-420"/>
    <n v="168799"/>
  </r>
  <r>
    <d v="2023-03-07T00:00:00"/>
    <n v="0"/>
    <n v="75084"/>
    <n v="75990"/>
    <n v="74808"/>
    <n v="75830"/>
    <n v="888399"/>
    <n v="1106.3399999999999"/>
    <n v="1"/>
    <n v="0"/>
    <n v="367"/>
    <n v="734"/>
    <n v="0"/>
    <n v="367"/>
    <n v="367"/>
    <x v="0"/>
    <x v="2"/>
    <n v="357"/>
    <n v="4"/>
    <n v="1428"/>
    <n v="170227"/>
  </r>
  <r>
    <d v="2023-03-09T00:00:00"/>
    <n v="0"/>
    <n v="75831"/>
    <n v="75902"/>
    <n v="75451"/>
    <n v="75720"/>
    <n v="787038"/>
    <n v="1059.53"/>
    <n v="0"/>
    <n v="1"/>
    <n v="369"/>
    <n v="738"/>
    <n v="-137"/>
    <n v="0"/>
    <n v="-137"/>
    <x v="0"/>
    <x v="2"/>
    <n v="-147"/>
    <n v="4"/>
    <n v="-588"/>
    <n v="169639"/>
  </r>
  <r>
    <d v="2023-03-10T00:00:00"/>
    <n v="0"/>
    <n v="75711"/>
    <n v="76098"/>
    <n v="75711"/>
    <n v="76000"/>
    <n v="771027"/>
    <n v="1011.5"/>
    <n v="1"/>
    <n v="0"/>
    <n v="353"/>
    <n v="706"/>
    <n v="0"/>
    <n v="-263"/>
    <n v="-263"/>
    <x v="0"/>
    <x v="2"/>
    <n v="-273"/>
    <n v="4"/>
    <n v="-1092"/>
    <n v="168547"/>
  </r>
  <r>
    <d v="2023-03-13T00:00:00"/>
    <n v="0"/>
    <n v="75998"/>
    <n v="75998"/>
    <n v="74772"/>
    <n v="74860"/>
    <n v="1489886"/>
    <n v="1026.96"/>
    <n v="0"/>
    <n v="1"/>
    <n v="337"/>
    <n v="674"/>
    <n v="337"/>
    <n v="0"/>
    <n v="337"/>
    <x v="0"/>
    <x v="2"/>
    <n v="327"/>
    <n v="5"/>
    <n v="1635"/>
    <n v="170182"/>
  </r>
  <r>
    <d v="2023-03-14T00:00:00"/>
    <n v="0"/>
    <n v="74868"/>
    <n v="75560"/>
    <n v="74868"/>
    <n v="75467"/>
    <n v="877735"/>
    <n v="1003.61"/>
    <n v="1"/>
    <n v="0"/>
    <n v="342"/>
    <n v="685"/>
    <n v="0"/>
    <n v="-563"/>
    <n v="-563"/>
    <x v="0"/>
    <x v="2"/>
    <n v="-573"/>
    <n v="4"/>
    <n v="-2292"/>
    <n v="167890"/>
  </r>
  <r>
    <d v="2023-03-15T00:00:00"/>
    <n v="0"/>
    <n v="75156"/>
    <n v="75844"/>
    <n v="75030"/>
    <n v="75700"/>
    <n v="568509"/>
    <n v="990.06"/>
    <n v="1"/>
    <n v="1"/>
    <n v="335"/>
    <n v="669"/>
    <n v="548"/>
    <n v="0"/>
    <n v="548"/>
    <x v="0"/>
    <x v="2"/>
    <n v="538"/>
    <n v="5"/>
    <n v="2690"/>
    <n v="170580"/>
  </r>
  <r>
    <d v="2023-03-16T00:00:00"/>
    <n v="0"/>
    <n v="75749"/>
    <n v="76629"/>
    <n v="75177"/>
    <n v="76340"/>
    <n v="1816382"/>
    <n v="1023.06"/>
    <n v="1"/>
    <n v="1"/>
    <n v="330"/>
    <n v="660"/>
    <n v="597"/>
    <n v="0"/>
    <n v="597"/>
    <x v="0"/>
    <x v="2"/>
    <n v="587"/>
    <n v="5"/>
    <n v="2935"/>
    <n v="173515"/>
  </r>
  <r>
    <d v="2023-03-17T00:00:00"/>
    <n v="0"/>
    <n v="76330"/>
    <n v="76963"/>
    <n v="75965"/>
    <n v="76787"/>
    <n v="1622152"/>
    <n v="1021.27"/>
    <n v="1"/>
    <n v="1"/>
    <n v="341"/>
    <n v="682"/>
    <n v="490"/>
    <n v="0"/>
    <n v="490"/>
    <x v="0"/>
    <x v="2"/>
    <n v="480"/>
    <n v="5"/>
    <n v="2400"/>
    <n v="175915"/>
  </r>
  <r>
    <d v="2023-03-20T00:00:00"/>
    <n v="0"/>
    <n v="76763"/>
    <n v="77633"/>
    <n v="76520"/>
    <n v="77090"/>
    <n v="1221472"/>
    <n v="1027.82"/>
    <n v="1"/>
    <n v="1"/>
    <n v="340"/>
    <n v="681"/>
    <n v="372"/>
    <n v="0"/>
    <n v="372"/>
    <x v="0"/>
    <x v="2"/>
    <n v="362"/>
    <n v="5"/>
    <n v="1810"/>
    <n v="177725"/>
  </r>
  <r>
    <d v="2023-03-21T00:00:00"/>
    <n v="0"/>
    <n v="77097"/>
    <n v="77438"/>
    <n v="76624"/>
    <n v="76691"/>
    <n v="794417"/>
    <n v="1012.55"/>
    <n v="0"/>
    <n v="1"/>
    <n v="343"/>
    <n v="685"/>
    <n v="343"/>
    <n v="0"/>
    <n v="343"/>
    <x v="0"/>
    <x v="2"/>
    <n v="333"/>
    <n v="5"/>
    <n v="1665"/>
    <n v="179390"/>
  </r>
  <r>
    <d v="2023-03-22T00:00:00"/>
    <n v="0"/>
    <n v="76705"/>
    <n v="77503"/>
    <n v="76600"/>
    <n v="77319"/>
    <n v="855766"/>
    <n v="1004.72"/>
    <n v="1"/>
    <n v="0"/>
    <n v="338"/>
    <n v="675"/>
    <n v="0"/>
    <n v="-565"/>
    <n v="-565"/>
    <x v="0"/>
    <x v="2"/>
    <n v="-575"/>
    <n v="5"/>
    <n v="-2875"/>
    <n v="176515"/>
  </r>
  <r>
    <d v="2023-03-23T00:00:00"/>
    <n v="0"/>
    <n v="77317"/>
    <n v="77317"/>
    <n v="75757"/>
    <n v="76110"/>
    <n v="1250036"/>
    <n v="1044.53"/>
    <n v="0"/>
    <n v="1"/>
    <n v="335"/>
    <n v="670"/>
    <n v="335"/>
    <n v="0"/>
    <n v="335"/>
    <x v="0"/>
    <x v="2"/>
    <n v="325"/>
    <n v="5"/>
    <n v="1625"/>
    <n v="178140"/>
  </r>
  <r>
    <d v="2023-03-24T00:00:00"/>
    <n v="0"/>
    <n v="76120"/>
    <n v="77147"/>
    <n v="75900"/>
    <n v="76961"/>
    <n v="1278056"/>
    <n v="1058.99"/>
    <n v="1"/>
    <n v="0"/>
    <n v="348"/>
    <n v="696"/>
    <n v="0"/>
    <n v="348"/>
    <n v="348"/>
    <x v="0"/>
    <x v="2"/>
    <n v="338"/>
    <n v="5"/>
    <n v="1690"/>
    <n v="179830"/>
  </r>
  <r>
    <d v="2023-03-27T00:00:00"/>
    <n v="0"/>
    <n v="76923"/>
    <n v="76998"/>
    <n v="76457"/>
    <n v="76604"/>
    <n v="785538"/>
    <n v="1021.99"/>
    <n v="0"/>
    <n v="1"/>
    <n v="353"/>
    <n v="706"/>
    <n v="-293"/>
    <n v="0"/>
    <n v="-293"/>
    <x v="0"/>
    <x v="2"/>
    <n v="-303"/>
    <n v="5"/>
    <n v="-1515"/>
    <n v="178315"/>
  </r>
  <r>
    <d v="2023-03-28T00:00:00"/>
    <n v="0"/>
    <n v="76600"/>
    <n v="77286"/>
    <n v="76370"/>
    <n v="77099"/>
    <n v="723013"/>
    <n v="1014.42"/>
    <n v="1"/>
    <n v="0"/>
    <n v="341"/>
    <n v="681"/>
    <n v="0"/>
    <n v="-511"/>
    <n v="-511"/>
    <x v="0"/>
    <x v="2"/>
    <n v="-521"/>
    <n v="5"/>
    <n v="-2605"/>
    <n v="175710"/>
  </r>
  <r>
    <d v="2023-03-29T00:00:00"/>
    <n v="0"/>
    <n v="77096"/>
    <n v="77417"/>
    <n v="76963"/>
    <n v="77327"/>
    <n v="566265"/>
    <n v="974.39"/>
    <n v="1"/>
    <n v="1"/>
    <n v="338"/>
    <n v="676"/>
    <n v="283"/>
    <n v="0"/>
    <n v="283"/>
    <x v="0"/>
    <x v="2"/>
    <n v="273"/>
    <n v="5"/>
    <n v="1365"/>
    <n v="177075"/>
  </r>
  <r>
    <d v="2023-03-30T00:00:00"/>
    <n v="0"/>
    <n v="77326"/>
    <n v="77567"/>
    <n v="76853"/>
    <n v="77375"/>
    <n v="1080348"/>
    <n v="955.79"/>
    <n v="1"/>
    <n v="1"/>
    <n v="325"/>
    <n v="650"/>
    <n v="80"/>
    <n v="0"/>
    <n v="80"/>
    <x v="0"/>
    <x v="2"/>
    <n v="70"/>
    <n v="5"/>
    <n v="350"/>
    <n v="177425"/>
  </r>
  <r>
    <d v="2023-03-31T00:00:00"/>
    <n v="0"/>
    <n v="77370"/>
    <n v="78235"/>
    <n v="77293"/>
    <n v="77806"/>
    <n v="883275"/>
    <n v="954.81"/>
    <n v="1"/>
    <n v="1"/>
    <n v="319"/>
    <n v="637"/>
    <n v="456"/>
    <n v="0"/>
    <n v="456"/>
    <x v="0"/>
    <x v="2"/>
    <n v="446"/>
    <n v="5"/>
    <n v="2230"/>
    <n v="179655"/>
  </r>
  <r>
    <d v="2023-04-03T00:00:00"/>
    <n v="0"/>
    <n v="77808"/>
    <n v="78989"/>
    <n v="77448"/>
    <n v="78850"/>
    <n v="834545"/>
    <n v="996.68"/>
    <n v="1"/>
    <n v="1"/>
    <n v="318"/>
    <n v="637"/>
    <n v="637"/>
    <n v="0"/>
    <n v="637"/>
    <x v="0"/>
    <x v="3"/>
    <n v="627"/>
    <n v="5"/>
    <n v="3135"/>
    <n v="182790"/>
  </r>
  <r>
    <d v="2023-04-04T00:00:00"/>
    <n v="0"/>
    <n v="78860"/>
    <n v="79777"/>
    <n v="78860"/>
    <n v="79688"/>
    <n v="970056"/>
    <n v="991.7"/>
    <n v="1"/>
    <n v="1"/>
    <n v="332"/>
    <n v="664"/>
    <n v="664"/>
    <n v="0"/>
    <n v="664"/>
    <x v="0"/>
    <x v="3"/>
    <n v="654"/>
    <n v="5"/>
    <n v="3270"/>
    <n v="186060"/>
  </r>
  <r>
    <d v="2023-04-05T00:00:00"/>
    <n v="0"/>
    <n v="79658"/>
    <n v="80171"/>
    <n v="79407"/>
    <n v="80150"/>
    <n v="770103"/>
    <n v="975.44"/>
    <n v="1"/>
    <n v="1"/>
    <n v="331"/>
    <n v="661"/>
    <n v="458"/>
    <n v="0"/>
    <n v="458"/>
    <x v="0"/>
    <x v="3"/>
    <n v="448"/>
    <n v="5"/>
    <n v="2240"/>
    <n v="188300"/>
  </r>
  <r>
    <d v="2023-04-06T00:00:00"/>
    <n v="0"/>
    <n v="80150"/>
    <n v="81790"/>
    <n v="80112"/>
    <n v="81720"/>
    <n v="1128114"/>
    <n v="1025.6199999999999"/>
    <n v="1"/>
    <n v="1"/>
    <n v="325"/>
    <n v="650"/>
    <n v="650"/>
    <n v="0"/>
    <n v="650"/>
    <x v="0"/>
    <x v="3"/>
    <n v="640"/>
    <n v="5"/>
    <n v="3200"/>
    <n v="191500"/>
  </r>
  <r>
    <d v="2023-04-07T00:00:00"/>
    <n v="0"/>
    <n v="81727"/>
    <n v="83172"/>
    <n v="80520"/>
    <n v="81017"/>
    <n v="2427761"/>
    <n v="1141.79"/>
    <n v="0"/>
    <n v="1"/>
    <n v="342"/>
    <n v="684"/>
    <n v="342"/>
    <n v="0"/>
    <n v="342"/>
    <x v="0"/>
    <x v="3"/>
    <n v="332"/>
    <n v="5"/>
    <n v="1660"/>
    <n v="193160"/>
  </r>
  <r>
    <d v="2023-04-10T00:00:00"/>
    <n v="0"/>
    <n v="81025"/>
    <n v="81745"/>
    <n v="80613"/>
    <n v="81395"/>
    <n v="1700100"/>
    <n v="1141.0899999999999"/>
    <n v="1"/>
    <n v="0"/>
    <n v="381"/>
    <n v="761"/>
    <n v="0"/>
    <n v="-323"/>
    <n v="-323"/>
    <x v="0"/>
    <x v="3"/>
    <n v="-333"/>
    <n v="5"/>
    <n v="-1665"/>
    <n v="191495"/>
  </r>
  <r>
    <d v="2023-04-11T00:00:00"/>
    <n v="0"/>
    <n v="81395"/>
    <n v="82450"/>
    <n v="81210"/>
    <n v="82150"/>
    <n v="944263"/>
    <n v="1148.1500000000001"/>
    <n v="1"/>
    <n v="1"/>
    <n v="380"/>
    <n v="761"/>
    <n v="672"/>
    <n v="0"/>
    <n v="672"/>
    <x v="0"/>
    <x v="3"/>
    <n v="662"/>
    <n v="5"/>
    <n v="3310"/>
    <n v="194805"/>
  </r>
  <r>
    <d v="2023-04-12T00:00:00"/>
    <n v="0"/>
    <n v="82153"/>
    <n v="82337"/>
    <n v="81331"/>
    <n v="81553"/>
    <n v="722188"/>
    <n v="1138"/>
    <n v="0"/>
    <n v="1"/>
    <n v="383"/>
    <n v="765"/>
    <n v="383"/>
    <n v="0"/>
    <n v="383"/>
    <x v="0"/>
    <x v="3"/>
    <n v="373"/>
    <n v="5"/>
    <n v="1865"/>
    <n v="196670"/>
  </r>
  <r>
    <d v="2023-04-13T00:00:00"/>
    <n v="0"/>
    <n v="81595"/>
    <n v="81825"/>
    <n v="80831"/>
    <n v="81446"/>
    <n v="948160"/>
    <n v="1127.72"/>
    <n v="0"/>
    <n v="0"/>
    <n v="379"/>
    <n v="759"/>
    <n v="0"/>
    <n v="308"/>
    <n v="308"/>
    <x v="0"/>
    <x v="3"/>
    <n v="298"/>
    <n v="5"/>
    <n v="1490"/>
    <n v="198160"/>
  </r>
  <r>
    <d v="2023-04-14T00:00:00"/>
    <n v="0"/>
    <n v="81415"/>
    <n v="81470"/>
    <n v="80831"/>
    <n v="81239"/>
    <n v="826961"/>
    <n v="1092.81"/>
    <n v="0"/>
    <n v="0"/>
    <n v="376"/>
    <n v="752"/>
    <n v="0"/>
    <n v="177"/>
    <n v="177"/>
    <x v="0"/>
    <x v="3"/>
    <n v="167"/>
    <n v="5"/>
    <n v="835"/>
    <n v="198995"/>
  </r>
  <r>
    <d v="2023-04-17T00:00:00"/>
    <n v="0"/>
    <n v="81288"/>
    <n v="81847"/>
    <n v="80272"/>
    <n v="80373"/>
    <n v="1228931"/>
    <n v="1127.25"/>
    <n v="0"/>
    <n v="0"/>
    <n v="364"/>
    <n v="729"/>
    <n v="0"/>
    <n v="729"/>
    <n v="729"/>
    <x v="0"/>
    <x v="3"/>
    <n v="719"/>
    <n v="5"/>
    <n v="3595"/>
    <n v="202590"/>
  </r>
  <r>
    <d v="2023-04-18T00:00:00"/>
    <n v="0"/>
    <n v="80373"/>
    <n v="80899"/>
    <n v="80180"/>
    <n v="80701"/>
    <n v="685353"/>
    <n v="1098.0899999999999"/>
    <n v="1"/>
    <n v="0"/>
    <n v="376"/>
    <n v="752"/>
    <n v="0"/>
    <n v="-316"/>
    <n v="-316"/>
    <x v="0"/>
    <x v="3"/>
    <n v="-326"/>
    <n v="5"/>
    <n v="-1630"/>
    <n v="200960"/>
  </r>
  <r>
    <d v="2023-04-19T00:00:00"/>
    <n v="0"/>
    <n v="80713"/>
    <n v="81370"/>
    <n v="80300"/>
    <n v="81270"/>
    <n v="1062044"/>
    <n v="1096.08"/>
    <n v="1"/>
    <n v="1"/>
    <n v="366"/>
    <n v="732"/>
    <n v="558"/>
    <n v="0"/>
    <n v="558"/>
    <x v="0"/>
    <x v="3"/>
    <n v="548"/>
    <n v="5"/>
    <n v="2740"/>
    <n v="203700"/>
  </r>
  <r>
    <d v="2023-04-20T00:00:00"/>
    <n v="0"/>
    <n v="81270"/>
    <n v="81305"/>
    <n v="80460"/>
    <n v="80714"/>
    <n v="868579"/>
    <n v="1078.1500000000001"/>
    <n v="0"/>
    <n v="1"/>
    <n v="365"/>
    <n v="731"/>
    <n v="365"/>
    <n v="0"/>
    <n v="365"/>
    <x v="0"/>
    <x v="3"/>
    <n v="355"/>
    <n v="5"/>
    <n v="1775"/>
    <n v="205475"/>
  </r>
  <r>
    <d v="2023-04-21T00:00:00"/>
    <n v="0"/>
    <n v="80712"/>
    <n v="80990"/>
    <n v="80339"/>
    <n v="80707"/>
    <n v="591377"/>
    <n v="1047.6400000000001"/>
    <n v="0"/>
    <n v="0"/>
    <n v="359"/>
    <n v="719"/>
    <n v="0"/>
    <n v="13"/>
    <n v="13"/>
    <x v="0"/>
    <x v="3"/>
    <n v="3"/>
    <n v="5"/>
    <n v="15"/>
    <n v="205490"/>
  </r>
  <r>
    <d v="2023-04-24T00:00:00"/>
    <n v="0"/>
    <n v="80681"/>
    <n v="80743"/>
    <n v="79937"/>
    <n v="80140"/>
    <n v="812121"/>
    <n v="1030.3800000000001"/>
    <n v="0"/>
    <n v="0"/>
    <n v="349"/>
    <n v="698"/>
    <n v="0"/>
    <n v="494"/>
    <n v="494"/>
    <x v="0"/>
    <x v="3"/>
    <n v="484"/>
    <n v="5"/>
    <n v="2420"/>
    <n v="207910"/>
  </r>
  <r>
    <d v="2023-04-25T00:00:00"/>
    <n v="0"/>
    <n v="80148"/>
    <n v="80970"/>
    <n v="80142"/>
    <n v="80403"/>
    <n v="1022639"/>
    <n v="1016.06"/>
    <n v="1"/>
    <n v="0"/>
    <n v="343"/>
    <n v="687"/>
    <n v="0"/>
    <n v="-306"/>
    <n v="-306"/>
    <x v="0"/>
    <x v="3"/>
    <n v="-316"/>
    <n v="6"/>
    <n v="-1896"/>
    <n v="206014"/>
  </r>
  <r>
    <d v="2023-04-26T00:00:00"/>
    <n v="0"/>
    <n v="80400"/>
    <n v="81051"/>
    <n v="80243"/>
    <n v="80946"/>
    <n v="684142"/>
    <n v="1001.2"/>
    <n v="1"/>
    <n v="1"/>
    <n v="339"/>
    <n v="677"/>
    <n v="559"/>
    <n v="0"/>
    <n v="559"/>
    <x v="0"/>
    <x v="3"/>
    <n v="549"/>
    <n v="6"/>
    <n v="3294"/>
    <n v="209308"/>
  </r>
  <r>
    <d v="2023-04-27T00:00:00"/>
    <n v="0"/>
    <n v="80988"/>
    <n v="81175"/>
    <n v="80065"/>
    <n v="80317"/>
    <n v="804009"/>
    <n v="1008.97"/>
    <n v="0"/>
    <n v="1"/>
    <n v="334"/>
    <n v="667"/>
    <n v="334"/>
    <n v="0"/>
    <n v="334"/>
    <x v="0"/>
    <x v="3"/>
    <n v="324"/>
    <n v="6"/>
    <n v="1944"/>
    <n v="211252"/>
  </r>
  <r>
    <d v="2023-04-28T00:00:00"/>
    <n v="0"/>
    <n v="80317"/>
    <n v="80676"/>
    <n v="78250"/>
    <n v="79310"/>
    <n v="1791264"/>
    <n v="1110.19"/>
    <n v="0"/>
    <n v="0"/>
    <n v="336"/>
    <n v="673"/>
    <n v="0"/>
    <n v="673"/>
    <n v="673"/>
    <x v="0"/>
    <x v="3"/>
    <n v="663"/>
    <n v="6"/>
    <n v="3978"/>
    <n v="215230"/>
  </r>
  <r>
    <d v="2023-05-02T00:00:00"/>
    <n v="0"/>
    <n v="79338"/>
    <n v="79630"/>
    <n v="78206"/>
    <n v="78586"/>
    <n v="1168695"/>
    <n v="1132.6099999999999"/>
    <n v="0"/>
    <n v="0"/>
    <n v="370"/>
    <n v="740"/>
    <n v="0"/>
    <n v="740"/>
    <n v="740"/>
    <x v="0"/>
    <x v="4"/>
    <n v="730"/>
    <n v="5"/>
    <n v="3650"/>
    <n v="218880"/>
  </r>
  <r>
    <d v="2023-05-03T00:00:00"/>
    <n v="0"/>
    <n v="78586"/>
    <n v="78848"/>
    <n v="77641"/>
    <n v="78220"/>
    <n v="958268"/>
    <n v="1137.92"/>
    <n v="0"/>
    <n v="0"/>
    <n v="378"/>
    <n v="755"/>
    <n v="0"/>
    <n v="415"/>
    <n v="415"/>
    <x v="0"/>
    <x v="4"/>
    <n v="405"/>
    <n v="5"/>
    <n v="2025"/>
    <n v="220905"/>
  </r>
  <r>
    <d v="2023-05-04T00:00:00"/>
    <n v="0"/>
    <n v="78239"/>
    <n v="78280"/>
    <n v="76406"/>
    <n v="77136"/>
    <n v="1437724"/>
    <n v="1190.5"/>
    <n v="0"/>
    <n v="0"/>
    <n v="379"/>
    <n v="759"/>
    <n v="0"/>
    <n v="759"/>
    <n v="759"/>
    <x v="0"/>
    <x v="4"/>
    <n v="749"/>
    <n v="5"/>
    <n v="3745"/>
    <n v="224650"/>
  </r>
  <r>
    <d v="2023-05-05T00:00:00"/>
    <n v="0"/>
    <n v="77086"/>
    <n v="77086"/>
    <n v="75424"/>
    <n v="76421"/>
    <n v="1595824"/>
    <n v="1227.75"/>
    <n v="0"/>
    <n v="0"/>
    <n v="397"/>
    <n v="794"/>
    <n v="0"/>
    <n v="757"/>
    <n v="757"/>
    <x v="0"/>
    <x v="4"/>
    <n v="747"/>
    <n v="5"/>
    <n v="3735"/>
    <n v="228385"/>
  </r>
  <r>
    <d v="2023-05-08T00:00:00"/>
    <n v="0"/>
    <n v="76449"/>
    <n v="77610"/>
    <n v="75566"/>
    <n v="77276"/>
    <n v="763645"/>
    <n v="1286.05"/>
    <n v="1"/>
    <n v="0"/>
    <n v="409"/>
    <n v="818"/>
    <n v="0"/>
    <n v="409"/>
    <n v="409"/>
    <x v="0"/>
    <x v="4"/>
    <n v="399"/>
    <n v="5"/>
    <n v="1995"/>
    <n v="230380"/>
  </r>
  <r>
    <d v="2023-05-10T00:00:00"/>
    <n v="0"/>
    <n v="77257"/>
    <n v="77275"/>
    <n v="75205"/>
    <n v="75289"/>
    <n v="1353899"/>
    <n v="1342.12"/>
    <n v="0"/>
    <n v="1"/>
    <n v="429"/>
    <n v="857"/>
    <n v="429"/>
    <n v="0"/>
    <n v="429"/>
    <x v="0"/>
    <x v="4"/>
    <n v="419"/>
    <n v="5"/>
    <n v="2095"/>
    <n v="232475"/>
  </r>
  <r>
    <d v="2023-05-11T00:00:00"/>
    <n v="0"/>
    <n v="75291"/>
    <n v="77687"/>
    <n v="74736"/>
    <n v="77423"/>
    <n v="2284511"/>
    <n v="1457.04"/>
    <n v="1"/>
    <n v="0"/>
    <n v="447"/>
    <n v="895"/>
    <n v="0"/>
    <n v="447"/>
    <n v="447"/>
    <x v="0"/>
    <x v="4"/>
    <n v="437"/>
    <n v="5"/>
    <n v="2185"/>
    <n v="234660"/>
  </r>
  <r>
    <d v="2023-05-12T00:00:00"/>
    <n v="0"/>
    <n v="77367"/>
    <n v="78129"/>
    <n v="76530"/>
    <n v="77699"/>
    <n v="1372044"/>
    <n v="1467.18"/>
    <n v="1"/>
    <n v="1"/>
    <n v="486"/>
    <n v="971"/>
    <n v="341"/>
    <n v="0"/>
    <n v="341"/>
    <x v="0"/>
    <x v="4"/>
    <n v="331"/>
    <n v="4"/>
    <n v="1324"/>
    <n v="235984"/>
  </r>
  <r>
    <d v="2023-05-15T00:00:00"/>
    <n v="0"/>
    <n v="77720"/>
    <n v="79477"/>
    <n v="77720"/>
    <n v="79234"/>
    <n v="1212820"/>
    <n v="1489.38"/>
    <n v="1"/>
    <n v="1"/>
    <n v="489"/>
    <n v="978"/>
    <n v="978"/>
    <n v="0"/>
    <n v="978"/>
    <x v="0"/>
    <x v="4"/>
    <n v="968"/>
    <n v="4"/>
    <n v="3872"/>
    <n v="239856"/>
  </r>
  <r>
    <d v="2023-05-16T00:00:00"/>
    <n v="0"/>
    <n v="79221"/>
    <n v="80330"/>
    <n v="79221"/>
    <n v="80330"/>
    <n v="1278732"/>
    <n v="1462.21"/>
    <n v="1"/>
    <n v="1"/>
    <n v="496"/>
    <n v="993"/>
    <n v="993"/>
    <n v="0"/>
    <n v="993"/>
    <x v="0"/>
    <x v="4"/>
    <n v="983"/>
    <n v="4"/>
    <n v="3932"/>
    <n v="243788"/>
  </r>
  <r>
    <d v="2023-05-17T00:00:00"/>
    <n v="0"/>
    <n v="80330"/>
    <n v="80682"/>
    <n v="79006"/>
    <n v="79105"/>
    <n v="1455318"/>
    <n v="1477.48"/>
    <n v="0"/>
    <n v="1"/>
    <n v="487"/>
    <n v="975"/>
    <n v="487"/>
    <n v="0"/>
    <n v="487"/>
    <x v="0"/>
    <x v="4"/>
    <n v="477"/>
    <n v="5"/>
    <n v="2385"/>
    <n v="246173"/>
  </r>
  <r>
    <d v="2023-05-18T00:00:00"/>
    <n v="0"/>
    <n v="79122"/>
    <n v="80200"/>
    <n v="78827"/>
    <n v="80077"/>
    <n v="1407010"/>
    <n v="1470.02"/>
    <n v="1"/>
    <n v="0"/>
    <n v="492"/>
    <n v="985"/>
    <n v="0"/>
    <n v="492"/>
    <n v="492"/>
    <x v="0"/>
    <x v="4"/>
    <n v="482"/>
    <n v="5"/>
    <n v="2410"/>
    <n v="248583"/>
  </r>
  <r>
    <d v="2023-05-19T00:00:00"/>
    <n v="0"/>
    <n v="80065"/>
    <n v="80082"/>
    <n v="79220"/>
    <n v="79570"/>
    <n v="824836"/>
    <n v="1426.59"/>
    <n v="0"/>
    <n v="1"/>
    <n v="490"/>
    <n v="980"/>
    <n v="490"/>
    <n v="0"/>
    <n v="490"/>
    <x v="0"/>
    <x v="4"/>
    <n v="480"/>
    <n v="5"/>
    <n v="2400"/>
    <n v="250983"/>
  </r>
  <r>
    <d v="2023-05-22T00:00:00"/>
    <n v="0"/>
    <n v="79574"/>
    <n v="79995"/>
    <n v="79275"/>
    <n v="79745"/>
    <n v="846144"/>
    <n v="1376.12"/>
    <n v="1"/>
    <n v="0"/>
    <n v="476"/>
    <n v="951"/>
    <n v="0"/>
    <n v="-213"/>
    <n v="-213"/>
    <x v="0"/>
    <x v="4"/>
    <n v="-223"/>
    <n v="5"/>
    <n v="-1115"/>
    <n v="249868"/>
  </r>
  <r>
    <d v="2023-05-23T00:00:00"/>
    <n v="0"/>
    <n v="79752"/>
    <n v="80293"/>
    <n v="79441"/>
    <n v="80048"/>
    <n v="1011864"/>
    <n v="1338.68"/>
    <n v="1"/>
    <n v="1"/>
    <n v="459"/>
    <n v="917"/>
    <n v="308"/>
    <n v="0"/>
    <n v="308"/>
    <x v="0"/>
    <x v="4"/>
    <n v="298"/>
    <n v="5"/>
    <n v="1490"/>
    <n v="251358"/>
  </r>
  <r>
    <d v="2023-05-24T00:00:00"/>
    <n v="0"/>
    <n v="80032"/>
    <n v="80250"/>
    <n v="79582"/>
    <n v="79980"/>
    <n v="694527"/>
    <n v="1290.77"/>
    <n v="0"/>
    <n v="1"/>
    <n v="446"/>
    <n v="892"/>
    <n v="-37"/>
    <n v="0"/>
    <n v="-37"/>
    <x v="0"/>
    <x v="4"/>
    <n v="-47"/>
    <n v="5"/>
    <n v="-235"/>
    <n v="251123"/>
  </r>
  <r>
    <d v="2023-05-25T00:00:00"/>
    <n v="0"/>
    <n v="80017"/>
    <n v="80220"/>
    <n v="79512"/>
    <n v="80074"/>
    <n v="850172"/>
    <n v="1249.1500000000001"/>
    <n v="1"/>
    <n v="0"/>
    <n v="430"/>
    <n v="861"/>
    <n v="0"/>
    <n v="-83"/>
    <n v="-83"/>
    <x v="0"/>
    <x v="4"/>
    <n v="-93"/>
    <n v="5"/>
    <n v="-465"/>
    <n v="250658"/>
  </r>
  <r>
    <d v="2023-05-26T00:00:00"/>
    <n v="0"/>
    <n v="80042"/>
    <n v="80096"/>
    <n v="79581"/>
    <n v="79934"/>
    <n v="658941"/>
    <n v="1196.71"/>
    <n v="0"/>
    <n v="1"/>
    <n v="416"/>
    <n v="833"/>
    <n v="-102"/>
    <n v="0"/>
    <n v="-102"/>
    <x v="0"/>
    <x v="4"/>
    <n v="-112"/>
    <n v="6"/>
    <n v="-672"/>
    <n v="249986"/>
  </r>
  <r>
    <d v="2023-05-29T00:00:00"/>
    <n v="0"/>
    <n v="79934"/>
    <n v="80932"/>
    <n v="79731"/>
    <n v="80848"/>
    <n v="1082581"/>
    <n v="1197.02"/>
    <n v="1"/>
    <n v="0"/>
    <n v="399"/>
    <n v="798"/>
    <n v="0"/>
    <n v="399"/>
    <n v="399"/>
    <x v="0"/>
    <x v="4"/>
    <n v="389"/>
    <n v="6"/>
    <n v="2334"/>
    <n v="252320"/>
  </r>
  <r>
    <d v="2023-05-30T00:00:00"/>
    <n v="0"/>
    <n v="80856"/>
    <n v="81323"/>
    <n v="80088"/>
    <n v="80731"/>
    <n v="1094854"/>
    <n v="1199.73"/>
    <n v="0"/>
    <n v="1"/>
    <n v="399"/>
    <n v="798"/>
    <n v="-10"/>
    <n v="0"/>
    <n v="-10"/>
    <x v="0"/>
    <x v="4"/>
    <n v="-20"/>
    <n v="6"/>
    <n v="-120"/>
    <n v="252200"/>
  </r>
  <r>
    <d v="2023-05-31T00:00:00"/>
    <n v="0"/>
    <n v="80747"/>
    <n v="81180"/>
    <n v="80540"/>
    <n v="80735"/>
    <n v="1002344"/>
    <n v="1159.75"/>
    <n v="0"/>
    <n v="0"/>
    <n v="400"/>
    <n v="800"/>
    <n v="0"/>
    <n v="67"/>
    <n v="67"/>
    <x v="0"/>
    <x v="4"/>
    <n v="57"/>
    <n v="6"/>
    <n v="342"/>
    <n v="252542"/>
  </r>
  <r>
    <d v="2023-06-01T00:00:00"/>
    <n v="0"/>
    <n v="80738"/>
    <n v="81030"/>
    <n v="80180"/>
    <n v="80531"/>
    <n v="993678"/>
    <n v="1137.6199999999999"/>
    <n v="0"/>
    <n v="0"/>
    <n v="387"/>
    <n v="773"/>
    <n v="0"/>
    <n v="215"/>
    <n v="215"/>
    <x v="0"/>
    <x v="5"/>
    <n v="205"/>
    <n v="6"/>
    <n v="1230"/>
    <n v="253772"/>
  </r>
  <r>
    <d v="2023-06-02T00:00:00"/>
    <n v="0"/>
    <n v="80529"/>
    <n v="81470"/>
    <n v="80346"/>
    <n v="81431"/>
    <n v="1016842"/>
    <n v="1136.6500000000001"/>
    <n v="1"/>
    <n v="0"/>
    <n v="379"/>
    <n v="758"/>
    <n v="0"/>
    <n v="379"/>
    <n v="379"/>
    <x v="0"/>
    <x v="5"/>
    <n v="369"/>
    <n v="6"/>
    <n v="2214"/>
    <n v="255986"/>
  </r>
  <r>
    <d v="2023-06-05T00:00:00"/>
    <n v="0"/>
    <n v="81437"/>
    <n v="81734"/>
    <n v="80480"/>
    <n v="80749"/>
    <n v="901493"/>
    <n v="1145.03"/>
    <n v="0"/>
    <n v="1"/>
    <n v="379"/>
    <n v="758"/>
    <n v="379"/>
    <n v="0"/>
    <n v="379"/>
    <x v="0"/>
    <x v="5"/>
    <n v="369"/>
    <n v="6"/>
    <n v="2214"/>
    <n v="258200"/>
  </r>
  <r>
    <d v="2023-06-06T00:00:00"/>
    <n v="0"/>
    <n v="80750"/>
    <n v="81573"/>
    <n v="80635"/>
    <n v="81375"/>
    <n v="788905"/>
    <n v="1130.24"/>
    <n v="1"/>
    <n v="0"/>
    <n v="382"/>
    <n v="763"/>
    <n v="0"/>
    <n v="-650"/>
    <n v="-650"/>
    <x v="0"/>
    <x v="5"/>
    <n v="-660"/>
    <n v="6"/>
    <n v="-3960"/>
    <n v="254240"/>
  </r>
  <r>
    <d v="2023-06-07T00:00:00"/>
    <n v="0"/>
    <n v="81375"/>
    <n v="81990"/>
    <n v="81128"/>
    <n v="81884"/>
    <n v="846180"/>
    <n v="1111.08"/>
    <n v="1"/>
    <n v="1"/>
    <n v="377"/>
    <n v="753"/>
    <n v="519"/>
    <n v="0"/>
    <n v="519"/>
    <x v="0"/>
    <x v="5"/>
    <n v="509"/>
    <n v="6"/>
    <n v="3054"/>
    <n v="257294"/>
  </r>
  <r>
    <d v="2023-06-08T00:00:00"/>
    <n v="0"/>
    <n v="81883"/>
    <n v="82769"/>
    <n v="81751"/>
    <n v="82685"/>
    <n v="873135"/>
    <n v="1104.43"/>
    <n v="1"/>
    <n v="1"/>
    <n v="370"/>
    <n v="741"/>
    <n v="741"/>
    <n v="0"/>
    <n v="741"/>
    <x v="0"/>
    <x v="5"/>
    <n v="731"/>
    <n v="6"/>
    <n v="4386"/>
    <n v="261680"/>
  </r>
  <r>
    <d v="2023-06-09T00:00:00"/>
    <n v="0"/>
    <n v="82693"/>
    <n v="83010"/>
    <n v="82150"/>
    <n v="82462"/>
    <n v="910174"/>
    <n v="1086.98"/>
    <n v="0"/>
    <n v="1"/>
    <n v="368"/>
    <n v="736"/>
    <n v="-125"/>
    <n v="0"/>
    <n v="-125"/>
    <x v="0"/>
    <x v="5"/>
    <n v="-135"/>
    <n v="7"/>
    <n v="-945"/>
    <n v="260735"/>
  </r>
  <r>
    <d v="2023-06-13T00:00:00"/>
    <n v="0"/>
    <n v="82516"/>
    <n v="84675"/>
    <n v="82516"/>
    <n v="84541"/>
    <n v="1705968"/>
    <n v="1167.4100000000001"/>
    <n v="1"/>
    <n v="0"/>
    <n v="362"/>
    <n v="725"/>
    <n v="0"/>
    <n v="362"/>
    <n v="362"/>
    <x v="0"/>
    <x v="5"/>
    <n v="352"/>
    <n v="7"/>
    <n v="2464"/>
    <n v="263199"/>
  </r>
  <r>
    <d v="2023-06-14T00:00:00"/>
    <n v="0"/>
    <n v="83645"/>
    <n v="84166"/>
    <n v="82820"/>
    <n v="83633"/>
    <n v="651300"/>
    <n v="1206.95"/>
    <n v="0"/>
    <n v="1"/>
    <n v="389"/>
    <n v="778"/>
    <n v="-76"/>
    <n v="0"/>
    <n v="-76"/>
    <x v="0"/>
    <x v="5"/>
    <n v="-86"/>
    <n v="6"/>
    <n v="-516"/>
    <n v="262683"/>
  </r>
  <r>
    <d v="2023-06-15T00:00:00"/>
    <n v="0"/>
    <n v="83632"/>
    <n v="83877"/>
    <n v="82756"/>
    <n v="83205"/>
    <n v="1213237"/>
    <n v="1200.81"/>
    <n v="0"/>
    <n v="0"/>
    <n v="402"/>
    <n v="805"/>
    <n v="0"/>
    <n v="418"/>
    <n v="418"/>
    <x v="0"/>
    <x v="5"/>
    <n v="408"/>
    <n v="6"/>
    <n v="2448"/>
    <n v="265131"/>
  </r>
  <r>
    <d v="2023-06-16T00:00:00"/>
    <n v="0"/>
    <n v="83222"/>
    <n v="83895"/>
    <n v="82809"/>
    <n v="83825"/>
    <n v="997870"/>
    <n v="1192.6099999999999"/>
    <n v="1"/>
    <n v="0"/>
    <n v="400"/>
    <n v="801"/>
    <n v="0"/>
    <n v="-567"/>
    <n v="-567"/>
    <x v="0"/>
    <x v="5"/>
    <n v="-577"/>
    <n v="6"/>
    <n v="-3462"/>
    <n v="261669"/>
  </r>
  <r>
    <d v="2023-06-19T00:00:00"/>
    <n v="0"/>
    <n v="83840"/>
    <n v="84132"/>
    <n v="83254"/>
    <n v="83640"/>
    <n v="889227"/>
    <n v="1170.1400000000001"/>
    <n v="0"/>
    <n v="1"/>
    <n v="398"/>
    <n v="795"/>
    <n v="-133"/>
    <n v="0"/>
    <n v="-133"/>
    <x v="0"/>
    <x v="5"/>
    <n v="-143"/>
    <n v="6"/>
    <n v="-858"/>
    <n v="260811"/>
  </r>
  <r>
    <d v="2023-06-20T00:00:00"/>
    <n v="0"/>
    <n v="83666"/>
    <n v="84577"/>
    <n v="83462"/>
    <n v="84416"/>
    <n v="919848"/>
    <n v="1166.2"/>
    <n v="1"/>
    <n v="0"/>
    <n v="390"/>
    <n v="780"/>
    <n v="0"/>
    <n v="-748"/>
    <n v="-748"/>
    <x v="0"/>
    <x v="5"/>
    <n v="-758"/>
    <n v="6"/>
    <n v="-4548"/>
    <n v="256263"/>
  </r>
  <r>
    <d v="2023-06-21T00:00:00"/>
    <n v="0"/>
    <n v="84405"/>
    <n v="84405"/>
    <n v="82627"/>
    <n v="82833"/>
    <n v="1802491"/>
    <n v="1210.68"/>
    <n v="0"/>
    <n v="1"/>
    <n v="389"/>
    <n v="777"/>
    <n v="389"/>
    <n v="0"/>
    <n v="389"/>
    <x v="0"/>
    <x v="5"/>
    <n v="379"/>
    <n v="6"/>
    <n v="2274"/>
    <n v="258537"/>
  </r>
  <r>
    <d v="2023-06-22T00:00:00"/>
    <n v="0"/>
    <n v="82835"/>
    <n v="83476"/>
    <n v="82256"/>
    <n v="83189"/>
    <n v="1073910"/>
    <n v="1211.3499999999999"/>
    <n v="1"/>
    <n v="0"/>
    <n v="404"/>
    <n v="807"/>
    <n v="0"/>
    <n v="-310"/>
    <n v="-310"/>
    <x v="0"/>
    <x v="5"/>
    <n v="-320"/>
    <n v="6"/>
    <n v="-1920"/>
    <n v="256617"/>
  </r>
  <r>
    <d v="2023-06-23T00:00:00"/>
    <n v="0"/>
    <n v="83199"/>
    <n v="84757"/>
    <n v="82672"/>
    <n v="84748"/>
    <n v="1294508"/>
    <n v="1273.75"/>
    <n v="1"/>
    <n v="1"/>
    <n v="404"/>
    <n v="808"/>
    <n v="808"/>
    <n v="0"/>
    <n v="808"/>
    <x v="0"/>
    <x v="5"/>
    <n v="798"/>
    <n v="6"/>
    <n v="4788"/>
    <n v="261405"/>
  </r>
  <r>
    <d v="2023-06-26T00:00:00"/>
    <n v="0"/>
    <n v="84750"/>
    <n v="85100"/>
    <n v="83343"/>
    <n v="84187"/>
    <n v="1650666"/>
    <n v="1308.27"/>
    <n v="0"/>
    <n v="1"/>
    <n v="425"/>
    <n v="849"/>
    <n v="425"/>
    <n v="0"/>
    <n v="425"/>
    <x v="0"/>
    <x v="5"/>
    <n v="415"/>
    <n v="6"/>
    <n v="2490"/>
    <n v="263895"/>
  </r>
  <r>
    <d v="2023-06-27T00:00:00"/>
    <n v="0"/>
    <n v="84180"/>
    <n v="84570"/>
    <n v="83687"/>
    <n v="84321"/>
    <n v="829207"/>
    <n v="1277.8900000000001"/>
    <n v="1"/>
    <n v="0"/>
    <n v="436"/>
    <n v="872"/>
    <n v="0"/>
    <n v="-181"/>
    <n v="-181"/>
    <x v="0"/>
    <x v="5"/>
    <n v="-191"/>
    <n v="6"/>
    <n v="-1146"/>
    <n v="262749"/>
  </r>
  <r>
    <d v="2023-06-28T00:00:00"/>
    <n v="0"/>
    <n v="84318"/>
    <n v="86030"/>
    <n v="84167"/>
    <n v="85684"/>
    <n v="1315944"/>
    <n v="1319.69"/>
    <n v="1"/>
    <n v="1"/>
    <n v="426"/>
    <n v="852"/>
    <n v="852"/>
    <n v="0"/>
    <n v="852"/>
    <x v="0"/>
    <x v="5"/>
    <n v="842"/>
    <n v="6"/>
    <n v="5052"/>
    <n v="267801"/>
  </r>
  <r>
    <d v="2023-06-29T00:00:00"/>
    <n v="0"/>
    <n v="85696"/>
    <n v="87399"/>
    <n v="85536"/>
    <n v="87199"/>
    <n v="1451811"/>
    <n v="1358.5"/>
    <n v="1"/>
    <n v="1"/>
    <n v="440"/>
    <n v="880"/>
    <n v="880"/>
    <n v="0"/>
    <n v="880"/>
    <x v="0"/>
    <x v="5"/>
    <n v="870"/>
    <n v="6"/>
    <n v="5220"/>
    <n v="273021"/>
  </r>
  <r>
    <d v="2023-06-30T00:00:00"/>
    <n v="0"/>
    <n v="87174"/>
    <n v="88963"/>
    <n v="86680"/>
    <n v="88778"/>
    <n v="2783713"/>
    <n v="1424.53"/>
    <n v="1"/>
    <n v="1"/>
    <n v="453"/>
    <n v="906"/>
    <n v="906"/>
    <n v="0"/>
    <n v="906"/>
    <x v="0"/>
    <x v="5"/>
    <n v="896"/>
    <n v="6"/>
    <n v="5376"/>
    <n v="278397"/>
  </r>
  <r>
    <d v="2023-07-03T00:00:00"/>
    <n v="0"/>
    <n v="88732"/>
    <n v="88732"/>
    <n v="86820"/>
    <n v="87238"/>
    <n v="1628508"/>
    <n v="1462.64"/>
    <n v="0"/>
    <n v="1"/>
    <n v="475"/>
    <n v="950"/>
    <n v="475"/>
    <n v="0"/>
    <n v="475"/>
    <x v="0"/>
    <x v="6"/>
    <n v="465"/>
    <n v="5"/>
    <n v="2325"/>
    <n v="280722"/>
  </r>
  <r>
    <d v="2023-07-04T00:00:00"/>
    <n v="0"/>
    <n v="87253"/>
    <n v="88862"/>
    <n v="86949"/>
    <n v="87841"/>
    <n v="1894491"/>
    <n v="1494.81"/>
    <n v="1"/>
    <n v="0"/>
    <n v="488"/>
    <n v="975"/>
    <n v="0"/>
    <n v="-572"/>
    <n v="-572"/>
    <x v="0"/>
    <x v="6"/>
    <n v="-582"/>
    <n v="5"/>
    <n v="-2910"/>
    <n v="277812"/>
  </r>
  <r>
    <d v="2023-07-05T00:00:00"/>
    <n v="0"/>
    <n v="87876"/>
    <n v="89200"/>
    <n v="87683"/>
    <n v="89040"/>
    <n v="1805509"/>
    <n v="1496.39"/>
    <n v="1"/>
    <n v="1"/>
    <n v="498"/>
    <n v="997"/>
    <n v="997"/>
    <n v="0"/>
    <n v="997"/>
    <x v="0"/>
    <x v="6"/>
    <n v="987"/>
    <n v="5"/>
    <n v="4935"/>
    <n v="282747"/>
  </r>
  <r>
    <d v="2023-07-06T00:00:00"/>
    <n v="0"/>
    <n v="89040"/>
    <n v="91394"/>
    <n v="89040"/>
    <n v="89950"/>
    <n v="2342211"/>
    <n v="1557.65"/>
    <n v="1"/>
    <n v="1"/>
    <n v="499"/>
    <n v="998"/>
    <n v="841"/>
    <n v="0"/>
    <n v="841"/>
    <x v="0"/>
    <x v="6"/>
    <n v="831"/>
    <n v="5"/>
    <n v="4155"/>
    <n v="286902"/>
  </r>
  <r>
    <d v="2023-07-07T00:00:00"/>
    <n v="0"/>
    <n v="89925"/>
    <n v="90478"/>
    <n v="89356"/>
    <n v="90089"/>
    <n v="979830"/>
    <n v="1526.53"/>
    <n v="1"/>
    <n v="1"/>
    <n v="519"/>
    <n v="1038"/>
    <n v="62"/>
    <n v="0"/>
    <n v="62"/>
    <x v="0"/>
    <x v="6"/>
    <n v="52"/>
    <n v="5"/>
    <n v="260"/>
    <n v="287162"/>
  </r>
  <r>
    <d v="2023-07-10T00:00:00"/>
    <n v="0"/>
    <n v="90100"/>
    <n v="90436"/>
    <n v="88507"/>
    <n v="88709"/>
    <n v="1119729"/>
    <n v="1555.28"/>
    <n v="0"/>
    <n v="1"/>
    <n v="509"/>
    <n v="1018"/>
    <n v="509"/>
    <n v="0"/>
    <n v="509"/>
    <x v="0"/>
    <x v="6"/>
    <n v="499"/>
    <n v="5"/>
    <n v="2495"/>
    <n v="289657"/>
  </r>
  <r>
    <d v="2023-07-11T00:00:00"/>
    <n v="0"/>
    <n v="88679"/>
    <n v="89398"/>
    <n v="88098"/>
    <n v="88429"/>
    <n v="1078969"/>
    <n v="1537.04"/>
    <n v="0"/>
    <n v="0"/>
    <n v="518"/>
    <n v="1037"/>
    <n v="0"/>
    <n v="134"/>
    <n v="134"/>
    <x v="0"/>
    <x v="6"/>
    <n v="124"/>
    <n v="5"/>
    <n v="620"/>
    <n v="290277"/>
  </r>
  <r>
    <d v="2023-07-12T00:00:00"/>
    <n v="0"/>
    <n v="88417"/>
    <n v="90040"/>
    <n v="88409"/>
    <n v="89980"/>
    <n v="1456249"/>
    <n v="1543.76"/>
    <n v="1"/>
    <n v="0"/>
    <n v="512"/>
    <n v="1025"/>
    <n v="0"/>
    <n v="512"/>
    <n v="512"/>
    <x v="0"/>
    <x v="6"/>
    <n v="502"/>
    <n v="5"/>
    <n v="2510"/>
    <n v="292787"/>
  </r>
  <r>
    <d v="2023-07-13T00:00:00"/>
    <n v="0"/>
    <n v="90071"/>
    <n v="90270"/>
    <n v="88450"/>
    <n v="88841"/>
    <n v="1230943"/>
    <n v="1563.49"/>
    <n v="0"/>
    <n v="1"/>
    <n v="515"/>
    <n v="1029"/>
    <n v="515"/>
    <n v="0"/>
    <n v="515"/>
    <x v="0"/>
    <x v="6"/>
    <n v="505"/>
    <n v="5"/>
    <n v="2525"/>
    <n v="295312"/>
  </r>
  <r>
    <d v="2023-07-14T00:00:00"/>
    <n v="0"/>
    <n v="88825"/>
    <n v="89676"/>
    <n v="88588"/>
    <n v="89490"/>
    <n v="1177044"/>
    <n v="1529.52"/>
    <n v="1"/>
    <n v="0"/>
    <n v="521"/>
    <n v="1042"/>
    <n v="0"/>
    <n v="-615"/>
    <n v="-615"/>
    <x v="0"/>
    <x v="6"/>
    <n v="-625"/>
    <n v="5"/>
    <n v="-3125"/>
    <n v="292187"/>
  </r>
  <r>
    <d v="2023-07-17T00:00:00"/>
    <n v="0"/>
    <n v="89643"/>
    <n v="90525"/>
    <n v="89261"/>
    <n v="90371"/>
    <n v="914583"/>
    <n v="1510.56"/>
    <n v="1"/>
    <n v="1"/>
    <n v="510"/>
    <n v="1020"/>
    <n v="806"/>
    <n v="0"/>
    <n v="806"/>
    <x v="0"/>
    <x v="6"/>
    <n v="796"/>
    <n v="5"/>
    <n v="3980"/>
    <n v="296167"/>
  </r>
  <r>
    <d v="2023-07-18T00:00:00"/>
    <n v="0"/>
    <n v="90299"/>
    <n v="90299"/>
    <n v="89694"/>
    <n v="89890"/>
    <n v="776298"/>
    <n v="1451.02"/>
    <n v="0"/>
    <n v="1"/>
    <n v="504"/>
    <n v="1007"/>
    <n v="-282"/>
    <n v="0"/>
    <n v="-282"/>
    <x v="0"/>
    <x v="6"/>
    <n v="-292"/>
    <n v="5"/>
    <n v="-1460"/>
    <n v="294707"/>
  </r>
  <r>
    <d v="2023-07-19T00:00:00"/>
    <n v="0"/>
    <n v="90025"/>
    <n v="90738"/>
    <n v="89911"/>
    <n v="90289"/>
    <n v="824607"/>
    <n v="1407.95"/>
    <n v="1"/>
    <n v="0"/>
    <n v="484"/>
    <n v="967"/>
    <n v="0"/>
    <n v="-256"/>
    <n v="-256"/>
    <x v="0"/>
    <x v="6"/>
    <n v="-266"/>
    <n v="6"/>
    <n v="-1596"/>
    <n v="293111"/>
  </r>
  <r>
    <d v="2023-07-20T00:00:00"/>
    <n v="0"/>
    <n v="90139"/>
    <n v="90286"/>
    <n v="89270"/>
    <n v="89607"/>
    <n v="1294706"/>
    <n v="1380.16"/>
    <n v="0"/>
    <n v="1"/>
    <n v="469"/>
    <n v="939"/>
    <n v="469"/>
    <n v="0"/>
    <n v="469"/>
    <x v="0"/>
    <x v="6"/>
    <n v="459"/>
    <n v="6"/>
    <n v="2754"/>
    <n v="295865"/>
  </r>
  <r>
    <d v="2023-07-21T00:00:00"/>
    <n v="0"/>
    <n v="89619"/>
    <n v="90379"/>
    <n v="88881"/>
    <n v="90245"/>
    <n v="1028327"/>
    <n v="1388.58"/>
    <n v="1"/>
    <n v="0"/>
    <n v="460"/>
    <n v="920"/>
    <n v="0"/>
    <n v="-665"/>
    <n v="-665"/>
    <x v="0"/>
    <x v="6"/>
    <n v="-675"/>
    <n v="6"/>
    <n v="-4050"/>
    <n v="291815"/>
  </r>
  <r>
    <d v="2023-07-24T00:00:00"/>
    <n v="0"/>
    <n v="90218"/>
    <n v="90258"/>
    <n v="89302"/>
    <n v="89360"/>
    <n v="712299"/>
    <n v="1357.68"/>
    <n v="0"/>
    <n v="1"/>
    <n v="463"/>
    <n v="926"/>
    <n v="463"/>
    <n v="0"/>
    <n v="463"/>
    <x v="0"/>
    <x v="6"/>
    <n v="453"/>
    <n v="6"/>
    <n v="2718"/>
    <n v="294533"/>
  </r>
  <r>
    <d v="2023-07-25T00:00:00"/>
    <n v="0"/>
    <n v="89303"/>
    <n v="89680"/>
    <n v="89020"/>
    <n v="89442"/>
    <n v="666516"/>
    <n v="1307.8499999999999"/>
    <n v="1"/>
    <n v="0"/>
    <n v="453"/>
    <n v="905"/>
    <n v="0"/>
    <n v="-140"/>
    <n v="-140"/>
    <x v="0"/>
    <x v="6"/>
    <n v="-150"/>
    <n v="6"/>
    <n v="-900"/>
    <n v="293633"/>
  </r>
  <r>
    <d v="2023-07-26T00:00:00"/>
    <n v="0"/>
    <n v="89517"/>
    <n v="89590"/>
    <n v="89112"/>
    <n v="89320"/>
    <n v="496389"/>
    <n v="1248.57"/>
    <n v="0"/>
    <n v="1"/>
    <n v="436"/>
    <n v="872"/>
    <n v="-184"/>
    <n v="0"/>
    <n v="-184"/>
    <x v="0"/>
    <x v="6"/>
    <n v="-194"/>
    <n v="6"/>
    <n v="-1164"/>
    <n v="292469"/>
  </r>
  <r>
    <d v="2023-07-27T00:00:00"/>
    <n v="0"/>
    <n v="89303"/>
    <n v="90065"/>
    <n v="88984"/>
    <n v="89903"/>
    <n v="1009033"/>
    <n v="1236.5999999999999"/>
    <n v="1"/>
    <n v="0"/>
    <n v="416"/>
    <n v="832"/>
    <n v="0"/>
    <n v="-545"/>
    <n v="-545"/>
    <x v="0"/>
    <x v="6"/>
    <n v="-555"/>
    <n v="7"/>
    <n v="-3885"/>
    <n v="288584"/>
  </r>
  <r>
    <d v="2023-07-28T00:00:00"/>
    <n v="0"/>
    <n v="89859"/>
    <n v="91350"/>
    <n v="89710"/>
    <n v="91321"/>
    <n v="920050"/>
    <n v="1265.42"/>
    <n v="1"/>
    <n v="1"/>
    <n v="412"/>
    <n v="824"/>
    <n v="824"/>
    <n v="0"/>
    <n v="824"/>
    <x v="0"/>
    <x v="6"/>
    <n v="814"/>
    <n v="7"/>
    <n v="5698"/>
    <n v="294282"/>
  </r>
  <r>
    <d v="2023-07-31T00:00:00"/>
    <n v="0"/>
    <n v="91490"/>
    <n v="91875"/>
    <n v="90550"/>
    <n v="90872"/>
    <n v="1010504"/>
    <n v="1269.67"/>
    <n v="0"/>
    <n v="1"/>
    <n v="422"/>
    <n v="844"/>
    <n v="422"/>
    <n v="0"/>
    <n v="422"/>
    <x v="0"/>
    <x v="6"/>
    <n v="412"/>
    <n v="6"/>
    <n v="2472"/>
    <n v="296754"/>
  </r>
  <r>
    <d v="2023-08-01T00:00:00"/>
    <n v="0"/>
    <n v="90973"/>
    <n v="92134"/>
    <n v="90633"/>
    <n v="91931"/>
    <n v="823037"/>
    <n v="1286.2"/>
    <n v="1"/>
    <n v="0"/>
    <n v="423"/>
    <n v="846"/>
    <n v="0"/>
    <n v="423"/>
    <n v="423"/>
    <x v="0"/>
    <x v="7"/>
    <n v="413"/>
    <n v="7"/>
    <n v="2891"/>
    <n v="299645"/>
  </r>
  <r>
    <d v="2023-08-02T00:00:00"/>
    <n v="0"/>
    <n v="91835"/>
    <n v="93795"/>
    <n v="91525"/>
    <n v="93377"/>
    <n v="1269308"/>
    <n v="1356.47"/>
    <n v="1"/>
    <n v="1"/>
    <n v="429"/>
    <n v="857"/>
    <n v="857"/>
    <n v="0"/>
    <n v="857"/>
    <x v="0"/>
    <x v="7"/>
    <n v="847"/>
    <n v="6"/>
    <n v="5082"/>
    <n v="304727"/>
  </r>
  <r>
    <d v="2023-08-03T00:00:00"/>
    <n v="0"/>
    <n v="93259"/>
    <n v="93958"/>
    <n v="92476"/>
    <n v="93475"/>
    <n v="1465635"/>
    <n v="1365.43"/>
    <n v="1"/>
    <n v="1"/>
    <n v="452"/>
    <n v="904"/>
    <n v="295"/>
    <n v="0"/>
    <n v="295"/>
    <x v="0"/>
    <x v="7"/>
    <n v="285"/>
    <n v="6"/>
    <n v="1710"/>
    <n v="306437"/>
  </r>
  <r>
    <d v="2023-08-04T00:00:00"/>
    <n v="0"/>
    <n v="93475"/>
    <n v="95230"/>
    <n v="93295"/>
    <n v="94714"/>
    <n v="1269498"/>
    <n v="1406.12"/>
    <n v="1"/>
    <n v="1"/>
    <n v="455"/>
    <n v="910"/>
    <n v="910"/>
    <n v="0"/>
    <n v="910"/>
    <x v="0"/>
    <x v="7"/>
    <n v="900"/>
    <n v="6"/>
    <n v="5400"/>
    <n v="311837"/>
  </r>
  <r>
    <d v="2023-08-07T00:00:00"/>
    <n v="0"/>
    <n v="94698"/>
    <n v="96102"/>
    <n v="93300"/>
    <n v="94358"/>
    <n v="1587923"/>
    <n v="1505.82"/>
    <n v="0"/>
    <n v="1"/>
    <n v="469"/>
    <n v="937"/>
    <n v="-328"/>
    <n v="0"/>
    <n v="-328"/>
    <x v="0"/>
    <x v="7"/>
    <n v="-338"/>
    <n v="6"/>
    <n v="-2028"/>
    <n v="309809"/>
  </r>
  <r>
    <d v="2023-08-08T00:00:00"/>
    <n v="0"/>
    <n v="94630"/>
    <n v="96792"/>
    <n v="94250"/>
    <n v="96668"/>
    <n v="1425014"/>
    <n v="1579.84"/>
    <n v="1"/>
    <n v="0"/>
    <n v="502"/>
    <n v="1004"/>
    <n v="0"/>
    <n v="502"/>
    <n v="502"/>
    <x v="0"/>
    <x v="7"/>
    <n v="492"/>
    <n v="6"/>
    <n v="2952"/>
    <n v="312761"/>
  </r>
  <r>
    <d v="2023-08-09T00:00:00"/>
    <n v="0"/>
    <n v="96127"/>
    <n v="96989"/>
    <n v="95625"/>
    <n v="95676"/>
    <n v="1525811"/>
    <n v="1564.42"/>
    <n v="0"/>
    <n v="1"/>
    <n v="527"/>
    <n v="1053"/>
    <n v="-369"/>
    <n v="0"/>
    <n v="-369"/>
    <x v="0"/>
    <x v="7"/>
    <n v="-379"/>
    <n v="5"/>
    <n v="-1895"/>
    <n v="310866"/>
  </r>
  <r>
    <d v="2023-08-10T00:00:00"/>
    <n v="0"/>
    <n v="95809"/>
    <n v="96940"/>
    <n v="95222"/>
    <n v="96800"/>
    <n v="1534967"/>
    <n v="1575.39"/>
    <n v="1"/>
    <n v="0"/>
    <n v="521"/>
    <n v="1043"/>
    <n v="0"/>
    <n v="-933"/>
    <n v="-933"/>
    <x v="0"/>
    <x v="7"/>
    <n v="-943"/>
    <n v="5"/>
    <n v="-4715"/>
    <n v="306151"/>
  </r>
  <r>
    <d v="2023-08-11T00:00:00"/>
    <n v="0"/>
    <n v="96879"/>
    <n v="98920"/>
    <n v="96600"/>
    <n v="98820"/>
    <n v="1500082"/>
    <n v="1628.58"/>
    <n v="1"/>
    <n v="1"/>
    <n v="525"/>
    <n v="1050"/>
    <n v="1050"/>
    <n v="0"/>
    <n v="1050"/>
    <x v="0"/>
    <x v="7"/>
    <n v="1040"/>
    <n v="5"/>
    <n v="5200"/>
    <n v="311351"/>
  </r>
  <r>
    <d v="2023-08-14T00:00:00"/>
    <n v="0"/>
    <n v="98950"/>
    <n v="100783"/>
    <n v="95708"/>
    <n v="95750"/>
    <n v="2902483"/>
    <n v="1874.75"/>
    <n v="0"/>
    <n v="1"/>
    <n v="543"/>
    <n v="1086"/>
    <n v="543"/>
    <n v="0"/>
    <n v="543"/>
    <x v="0"/>
    <x v="7"/>
    <n v="533"/>
    <n v="5"/>
    <n v="2665"/>
    <n v="314016"/>
  </r>
  <r>
    <d v="2023-08-15T00:00:00"/>
    <n v="0"/>
    <n v="95340"/>
    <n v="98431"/>
    <n v="94350"/>
    <n v="95250"/>
    <n v="2825901"/>
    <n v="2032.34"/>
    <n v="0"/>
    <n v="0"/>
    <n v="625"/>
    <n v="1250"/>
    <n v="0"/>
    <n v="-45"/>
    <n v="-45"/>
    <x v="0"/>
    <x v="7"/>
    <n v="-55"/>
    <n v="5"/>
    <n v="-275"/>
    <n v="313741"/>
  </r>
  <r>
    <d v="2023-08-16T00:00:00"/>
    <n v="0"/>
    <n v="95915"/>
    <n v="96430"/>
    <n v="93115"/>
    <n v="93833"/>
    <n v="2007495"/>
    <n v="2123.96"/>
    <n v="0"/>
    <n v="0"/>
    <n v="677"/>
    <n v="1355"/>
    <n v="0"/>
    <n v="1355"/>
    <n v="1355"/>
    <x v="0"/>
    <x v="7"/>
    <n v="1345"/>
    <n v="4"/>
    <n v="5380"/>
    <n v="319121"/>
  </r>
  <r>
    <d v="2023-08-17T00:00:00"/>
    <n v="0"/>
    <n v="93456"/>
    <n v="94481"/>
    <n v="91700"/>
    <n v="92692"/>
    <n v="1970582"/>
    <n v="2170.89"/>
    <n v="0"/>
    <n v="0"/>
    <n v="708"/>
    <n v="1416"/>
    <n v="0"/>
    <n v="816"/>
    <n v="816"/>
    <x v="0"/>
    <x v="7"/>
    <n v="806"/>
    <n v="4"/>
    <n v="3224"/>
    <n v="322345"/>
  </r>
  <r>
    <d v="2023-08-18T00:00:00"/>
    <n v="0"/>
    <n v="92596"/>
    <n v="93157"/>
    <n v="91529"/>
    <n v="92960"/>
    <n v="1302177"/>
    <n v="2132.11"/>
    <n v="1"/>
    <n v="0"/>
    <n v="724"/>
    <n v="1447"/>
    <n v="0"/>
    <n v="-293"/>
    <n v="-293"/>
    <x v="0"/>
    <x v="7"/>
    <n v="-303"/>
    <n v="4"/>
    <n v="-1212"/>
    <n v="321133"/>
  </r>
  <r>
    <d v="2023-08-21T00:00:00"/>
    <n v="0"/>
    <n v="92703"/>
    <n v="94027"/>
    <n v="92222"/>
    <n v="92745"/>
    <n v="1565886"/>
    <n v="2108.75"/>
    <n v="1"/>
    <n v="1"/>
    <n v="711"/>
    <n v="1421"/>
    <n v="-2"/>
    <n v="0"/>
    <n v="-2"/>
    <x v="0"/>
    <x v="7"/>
    <n v="-12"/>
    <n v="4"/>
    <n v="-48"/>
    <n v="321085"/>
  </r>
  <r>
    <d v="2023-08-22T00:00:00"/>
    <n v="0"/>
    <n v="92859"/>
    <n v="93669"/>
    <n v="92741"/>
    <n v="93396"/>
    <n v="1170641"/>
    <n v="2024.41"/>
    <n v="1"/>
    <n v="1"/>
    <n v="703"/>
    <n v="1406"/>
    <n v="528"/>
    <n v="0"/>
    <n v="528"/>
    <x v="0"/>
    <x v="7"/>
    <n v="518"/>
    <n v="4"/>
    <n v="2072"/>
    <n v="323157"/>
  </r>
  <r>
    <d v="2023-08-23T00:00:00"/>
    <n v="0"/>
    <n v="93498"/>
    <n v="94390"/>
    <n v="92901"/>
    <n v="94341"/>
    <n v="1481995"/>
    <n v="1986.16"/>
    <n v="1"/>
    <n v="1"/>
    <n v="675"/>
    <n v="1350"/>
    <n v="597"/>
    <n v="0"/>
    <n v="597"/>
    <x v="0"/>
    <x v="7"/>
    <n v="587"/>
    <n v="4"/>
    <n v="2348"/>
    <n v="325505"/>
  </r>
  <r>
    <d v="2023-08-24T00:00:00"/>
    <n v="0"/>
    <n v="93902"/>
    <n v="94296"/>
    <n v="93542"/>
    <n v="94150"/>
    <n v="902368"/>
    <n v="1901.37"/>
    <n v="1"/>
    <n v="1"/>
    <n v="662"/>
    <n v="1324"/>
    <n v="204"/>
    <n v="0"/>
    <n v="204"/>
    <x v="0"/>
    <x v="7"/>
    <n v="194"/>
    <n v="4"/>
    <n v="776"/>
    <n v="326281"/>
  </r>
  <r>
    <d v="2023-08-25T00:00:00"/>
    <n v="0"/>
    <n v="94140"/>
    <n v="95540"/>
    <n v="93931"/>
    <n v="95266"/>
    <n v="1255659"/>
    <n v="1880.48"/>
    <n v="1"/>
    <n v="1"/>
    <n v="634"/>
    <n v="1268"/>
    <n v="1246"/>
    <n v="0"/>
    <n v="1246"/>
    <x v="0"/>
    <x v="7"/>
    <n v="1236"/>
    <n v="5"/>
    <n v="6180"/>
    <n v="332461"/>
  </r>
  <r>
    <d v="2023-08-28T00:00:00"/>
    <n v="0"/>
    <n v="95396"/>
    <n v="95818"/>
    <n v="95027"/>
    <n v="95234"/>
    <n v="1217451"/>
    <n v="1802.66"/>
    <n v="0"/>
    <n v="1"/>
    <n v="627"/>
    <n v="1254"/>
    <n v="-90"/>
    <n v="0"/>
    <n v="-90"/>
    <x v="0"/>
    <x v="7"/>
    <n v="-100"/>
    <n v="5"/>
    <n v="-500"/>
    <n v="331961"/>
  </r>
  <r>
    <d v="2023-08-29T00:00:00"/>
    <n v="0"/>
    <n v="95382"/>
    <n v="96300"/>
    <n v="95072"/>
    <n v="95470"/>
    <n v="1364097"/>
    <n v="1761.62"/>
    <n v="1"/>
    <n v="0"/>
    <n v="601"/>
    <n v="1202"/>
    <n v="0"/>
    <n v="-57"/>
    <n v="-57"/>
    <x v="0"/>
    <x v="7"/>
    <n v="-67"/>
    <n v="5"/>
    <n v="-335"/>
    <n v="331626"/>
  </r>
  <r>
    <d v="2023-08-30T00:00:00"/>
    <n v="0"/>
    <n v="95731"/>
    <n v="96245"/>
    <n v="95507"/>
    <n v="96217"/>
    <n v="763192"/>
    <n v="1691.14"/>
    <n v="1"/>
    <n v="1"/>
    <n v="587"/>
    <n v="1174"/>
    <n v="501"/>
    <n v="0"/>
    <n v="501"/>
    <x v="0"/>
    <x v="7"/>
    <n v="491"/>
    <n v="5"/>
    <n v="2455"/>
    <n v="334081"/>
  </r>
  <r>
    <d v="2023-08-31T00:00:00"/>
    <n v="0"/>
    <n v="96300"/>
    <n v="96423"/>
    <n v="95342"/>
    <n v="95825"/>
    <n v="1125960"/>
    <n v="1647.56"/>
    <n v="0"/>
    <n v="1"/>
    <n v="564"/>
    <n v="1127"/>
    <n v="-432"/>
    <n v="0"/>
    <n v="-432"/>
    <x v="0"/>
    <x v="7"/>
    <n v="-442"/>
    <n v="5"/>
    <n v="-2210"/>
    <n v="331871"/>
  </r>
  <r>
    <d v="2023-09-01T00:00:00"/>
    <n v="0"/>
    <n v="95902"/>
    <n v="96643"/>
    <n v="95550"/>
    <n v="96139"/>
    <n v="1356212"/>
    <n v="1607.95"/>
    <n v="1"/>
    <n v="0"/>
    <n v="549"/>
    <n v="1098"/>
    <n v="0"/>
    <n v="-280"/>
    <n v="-280"/>
    <x v="0"/>
    <x v="8"/>
    <n v="-290"/>
    <n v="6"/>
    <n v="-1740"/>
    <n v="330131"/>
  </r>
  <r>
    <d v="2023-09-04T00:00:00"/>
    <n v="0"/>
    <n v="96182"/>
    <n v="96894"/>
    <n v="96111"/>
    <n v="96855"/>
    <n v="703039"/>
    <n v="1549.02"/>
    <n v="1"/>
    <n v="1"/>
    <n v="536"/>
    <n v="1072"/>
    <n v="683"/>
    <n v="0"/>
    <n v="683"/>
    <x v="0"/>
    <x v="8"/>
    <n v="673"/>
    <n v="6"/>
    <n v="4038"/>
    <n v="334169"/>
  </r>
  <r>
    <d v="2023-09-05T00:00:00"/>
    <n v="0"/>
    <n v="96942"/>
    <n v="97989"/>
    <n v="96942"/>
    <n v="97949"/>
    <n v="885357"/>
    <n v="1519.38"/>
    <n v="1"/>
    <n v="1"/>
    <n v="516"/>
    <n v="1033"/>
    <n v="1033"/>
    <n v="0"/>
    <n v="1033"/>
    <x v="0"/>
    <x v="8"/>
    <n v="1023"/>
    <n v="6"/>
    <n v="6138"/>
    <n v="340307"/>
  </r>
  <r>
    <d v="2023-09-06T00:00:00"/>
    <n v="0"/>
    <n v="97949"/>
    <n v="98499"/>
    <n v="97309"/>
    <n v="98262"/>
    <n v="1240645"/>
    <n v="1495.85"/>
    <n v="1"/>
    <n v="1"/>
    <n v="506"/>
    <n v="1013"/>
    <n v="344"/>
    <n v="0"/>
    <n v="344"/>
    <x v="0"/>
    <x v="8"/>
    <n v="334"/>
    <n v="6"/>
    <n v="2004"/>
    <n v="342311"/>
  </r>
  <r>
    <d v="2023-09-07T00:00:00"/>
    <n v="0"/>
    <n v="98264"/>
    <n v="98655"/>
    <n v="97116"/>
    <n v="98346"/>
    <n v="1572811"/>
    <n v="1498.93"/>
    <n v="1"/>
    <n v="1"/>
    <n v="499"/>
    <n v="997"/>
    <n v="180"/>
    <n v="0"/>
    <n v="180"/>
    <x v="0"/>
    <x v="8"/>
    <n v="170"/>
    <n v="6"/>
    <n v="1020"/>
    <n v="343331"/>
  </r>
  <r>
    <d v="2023-09-08T00:00:00"/>
    <n v="0"/>
    <n v="98400"/>
    <n v="98444"/>
    <n v="97538"/>
    <n v="97670"/>
    <n v="1064091"/>
    <n v="1456.58"/>
    <n v="0"/>
    <n v="1"/>
    <n v="500"/>
    <n v="999"/>
    <n v="500"/>
    <n v="0"/>
    <n v="500"/>
    <x v="0"/>
    <x v="8"/>
    <n v="490"/>
    <n v="6"/>
    <n v="2940"/>
    <n v="346271"/>
  </r>
  <r>
    <d v="2023-09-11T00:00:00"/>
    <n v="0"/>
    <n v="97320"/>
    <n v="97320"/>
    <n v="94676"/>
    <n v="94796"/>
    <n v="1675899"/>
    <n v="1566.4"/>
    <n v="0"/>
    <n v="0"/>
    <n v="486"/>
    <n v="971"/>
    <n v="0"/>
    <n v="971"/>
    <n v="971"/>
    <x v="0"/>
    <x v="8"/>
    <n v="961"/>
    <n v="7"/>
    <n v="6727"/>
    <n v="352998"/>
  </r>
  <r>
    <d v="2023-09-12T00:00:00"/>
    <n v="0"/>
    <n v="94095"/>
    <n v="95548"/>
    <n v="93744"/>
    <n v="95148"/>
    <n v="1816171"/>
    <n v="1583.37"/>
    <n v="1"/>
    <n v="0"/>
    <n v="522"/>
    <n v="1044"/>
    <n v="0"/>
    <n v="522"/>
    <n v="522"/>
    <x v="0"/>
    <x v="8"/>
    <n v="512"/>
    <n v="6"/>
    <n v="3072"/>
    <n v="356070"/>
  </r>
  <r>
    <d v="2023-09-13T00:00:00"/>
    <n v="0"/>
    <n v="95162"/>
    <n v="96739"/>
    <n v="95162"/>
    <n v="96408"/>
    <n v="956945"/>
    <n v="1583.91"/>
    <n v="1"/>
    <n v="1"/>
    <n v="528"/>
    <n v="1056"/>
    <n v="1056"/>
    <n v="0"/>
    <n v="1056"/>
    <x v="0"/>
    <x v="8"/>
    <n v="1046"/>
    <n v="6"/>
    <n v="6276"/>
    <n v="362346"/>
  </r>
  <r>
    <d v="2023-09-14T00:00:00"/>
    <n v="0"/>
    <n v="96468"/>
    <n v="97049"/>
    <n v="95653"/>
    <n v="96634"/>
    <n v="2088277"/>
    <n v="1570.49"/>
    <n v="1"/>
    <n v="1"/>
    <n v="528"/>
    <n v="1056"/>
    <n v="176"/>
    <n v="0"/>
    <n v="176"/>
    <x v="0"/>
    <x v="8"/>
    <n v="166"/>
    <n v="6"/>
    <n v="996"/>
    <n v="363342"/>
  </r>
  <r>
    <d v="2023-09-15T00:00:00"/>
    <n v="0"/>
    <n v="96660"/>
    <n v="97298"/>
    <n v="95957"/>
    <n v="96500"/>
    <n v="1793238"/>
    <n v="1554.1"/>
    <n v="0"/>
    <n v="1"/>
    <n v="523"/>
    <n v="1047"/>
    <n v="-66"/>
    <n v="0"/>
    <n v="-66"/>
    <x v="0"/>
    <x v="8"/>
    <n v="-76"/>
    <n v="6"/>
    <n v="-456"/>
    <n v="362886"/>
  </r>
  <r>
    <d v="2023-09-18T00:00:00"/>
    <n v="0"/>
    <n v="96520"/>
    <n v="97203"/>
    <n v="96268"/>
    <n v="96389"/>
    <n v="1292019"/>
    <n v="1509.88"/>
    <n v="0"/>
    <n v="0"/>
    <n v="518"/>
    <n v="1036"/>
    <n v="0"/>
    <n v="100"/>
    <n v="100"/>
    <x v="0"/>
    <x v="8"/>
    <n v="90"/>
    <n v="7"/>
    <n v="630"/>
    <n v="363516"/>
  </r>
  <r>
    <d v="2023-09-19T00:00:00"/>
    <n v="0"/>
    <n v="96399"/>
    <n v="97644"/>
    <n v="95880"/>
    <n v="96821"/>
    <n v="1125280"/>
    <n v="1528.03"/>
    <n v="1"/>
    <n v="0"/>
    <n v="503"/>
    <n v="1007"/>
    <n v="0"/>
    <n v="-429"/>
    <n v="-429"/>
    <x v="0"/>
    <x v="8"/>
    <n v="-439"/>
    <n v="7"/>
    <n v="-3073"/>
    <n v="360443"/>
  </r>
  <r>
    <d v="2023-09-20T00:00:00"/>
    <n v="0"/>
    <n v="95445"/>
    <n v="95843"/>
    <n v="94440"/>
    <n v="94660"/>
    <n v="999263"/>
    <n v="1588.96"/>
    <n v="0"/>
    <n v="1"/>
    <n v="509"/>
    <n v="1019"/>
    <n v="509"/>
    <n v="0"/>
    <n v="509"/>
    <x v="0"/>
    <x v="8"/>
    <n v="499"/>
    <n v="7"/>
    <n v="3493"/>
    <n v="363936"/>
  </r>
  <r>
    <d v="2023-09-21T00:00:00"/>
    <n v="0"/>
    <n v="94665"/>
    <n v="95640"/>
    <n v="93889"/>
    <n v="95274"/>
    <n v="1662869"/>
    <n v="1600.53"/>
    <n v="1"/>
    <n v="0"/>
    <n v="530"/>
    <n v="1059"/>
    <n v="0"/>
    <n v="-607"/>
    <n v="-607"/>
    <x v="0"/>
    <x v="8"/>
    <n v="-617"/>
    <n v="6"/>
    <n v="-3702"/>
    <n v="360234"/>
  </r>
  <r>
    <d v="2023-09-22T00:00:00"/>
    <n v="0"/>
    <n v="95300"/>
    <n v="95969"/>
    <n v="95138"/>
    <n v="95888"/>
    <n v="853908"/>
    <n v="1545.56"/>
    <n v="1"/>
    <n v="1"/>
    <n v="534"/>
    <n v="1067"/>
    <n v="493"/>
    <n v="0"/>
    <n v="493"/>
    <x v="0"/>
    <x v="8"/>
    <n v="483"/>
    <n v="6"/>
    <n v="2898"/>
    <n v="363132"/>
  </r>
  <r>
    <d v="2023-09-25T00:00:00"/>
    <n v="0"/>
    <n v="95875"/>
    <n v="96112"/>
    <n v="95084"/>
    <n v="95862"/>
    <n v="866284"/>
    <n v="1508.6"/>
    <n v="0"/>
    <n v="1"/>
    <n v="515"/>
    <n v="1030"/>
    <n v="55"/>
    <n v="0"/>
    <n v="55"/>
    <x v="0"/>
    <x v="8"/>
    <n v="45"/>
    <n v="7"/>
    <n v="315"/>
    <n v="363447"/>
  </r>
  <r>
    <d v="2023-09-26T00:00:00"/>
    <n v="0"/>
    <n v="95922"/>
    <n v="96320"/>
    <n v="95710"/>
    <n v="96189"/>
    <n v="547203"/>
    <n v="1444.41"/>
    <n v="1"/>
    <n v="0"/>
    <n v="503"/>
    <n v="1006"/>
    <n v="0"/>
    <n v="-343"/>
    <n v="-343"/>
    <x v="0"/>
    <x v="8"/>
    <n v="-353"/>
    <n v="7"/>
    <n v="-2471"/>
    <n v="360976"/>
  </r>
  <r>
    <d v="2023-09-27T00:00:00"/>
    <n v="0"/>
    <n v="96162"/>
    <n v="96666"/>
    <n v="95800"/>
    <n v="96589"/>
    <n v="762321"/>
    <n v="1403.1"/>
    <n v="1"/>
    <n v="1"/>
    <n v="481"/>
    <n v="963"/>
    <n v="454"/>
    <n v="0"/>
    <n v="454"/>
    <x v="0"/>
    <x v="8"/>
    <n v="444"/>
    <n v="7"/>
    <n v="3108"/>
    <n v="364084"/>
  </r>
  <r>
    <d v="2023-09-28T00:00:00"/>
    <n v="0"/>
    <n v="96586"/>
    <n v="97336"/>
    <n v="96282"/>
    <n v="97031"/>
    <n v="774698"/>
    <n v="1378.16"/>
    <n v="1"/>
    <n v="1"/>
    <n v="468"/>
    <n v="935"/>
    <n v="531"/>
    <n v="0"/>
    <n v="531"/>
    <x v="0"/>
    <x v="8"/>
    <n v="521"/>
    <n v="7"/>
    <n v="3647"/>
    <n v="367731"/>
  </r>
  <r>
    <d v="2023-09-29T00:00:00"/>
    <n v="0"/>
    <n v="97064"/>
    <n v="98470"/>
    <n v="97003"/>
    <n v="98460"/>
    <n v="875680"/>
    <n v="1384.51"/>
    <n v="1"/>
    <n v="1"/>
    <n v="459"/>
    <n v="919"/>
    <n v="919"/>
    <n v="0"/>
    <n v="919"/>
    <x v="0"/>
    <x v="8"/>
    <n v="909"/>
    <n v="8"/>
    <n v="7272"/>
    <n v="375003"/>
  </r>
  <r>
    <d v="2023-10-02T00:00:00"/>
    <n v="0"/>
    <n v="98469"/>
    <n v="99900"/>
    <n v="98000"/>
    <n v="99882"/>
    <n v="1106386"/>
    <n v="1421.33"/>
    <n v="1"/>
    <n v="1"/>
    <n v="462"/>
    <n v="923"/>
    <n v="923"/>
    <n v="0"/>
    <n v="923"/>
    <x v="0"/>
    <x v="9"/>
    <n v="913"/>
    <n v="8"/>
    <n v="7304"/>
    <n v="382307"/>
  </r>
  <r>
    <d v="2023-10-03T00:00:00"/>
    <n v="0"/>
    <n v="99858"/>
    <n v="99951"/>
    <n v="98939"/>
    <n v="99430"/>
    <n v="964926"/>
    <n v="1392.09"/>
    <n v="0"/>
    <n v="1"/>
    <n v="474"/>
    <n v="948"/>
    <n v="-409"/>
    <n v="0"/>
    <n v="-409"/>
    <x v="0"/>
    <x v="9"/>
    <n v="-419"/>
    <n v="8"/>
    <n v="-3352"/>
    <n v="378955"/>
  </r>
  <r>
    <d v="2023-10-04T00:00:00"/>
    <n v="0"/>
    <n v="99454"/>
    <n v="100234"/>
    <n v="99031"/>
    <n v="99799"/>
    <n v="936274"/>
    <n v="1378.58"/>
    <n v="1"/>
    <n v="0"/>
    <n v="464"/>
    <n v="928"/>
    <n v="0"/>
    <n v="-373"/>
    <n v="-373"/>
    <x v="0"/>
    <x v="9"/>
    <n v="-383"/>
    <n v="8"/>
    <n v="-3064"/>
    <n v="375891"/>
  </r>
  <r>
    <d v="2023-10-05T00:00:00"/>
    <n v="0"/>
    <n v="99794"/>
    <n v="101390"/>
    <n v="99618"/>
    <n v="101189"/>
    <n v="1076606"/>
    <n v="1406.68"/>
    <n v="1"/>
    <n v="1"/>
    <n v="460"/>
    <n v="919"/>
    <n v="919"/>
    <n v="0"/>
    <n v="919"/>
    <x v="0"/>
    <x v="9"/>
    <n v="909"/>
    <n v="8"/>
    <n v="7272"/>
    <n v="383163"/>
  </r>
  <r>
    <d v="2023-10-06T00:00:00"/>
    <n v="0"/>
    <n v="101229"/>
    <n v="101854"/>
    <n v="99807"/>
    <n v="100449"/>
    <n v="1713821"/>
    <n v="1452.42"/>
    <n v="0"/>
    <n v="1"/>
    <n v="469"/>
    <n v="938"/>
    <n v="469"/>
    <n v="0"/>
    <n v="469"/>
    <x v="0"/>
    <x v="9"/>
    <n v="459"/>
    <n v="8"/>
    <n v="3672"/>
    <n v="386835"/>
  </r>
  <r>
    <d v="2023-10-09T00:00:00"/>
    <n v="0"/>
    <n v="100450"/>
    <n v="102577"/>
    <n v="98555"/>
    <n v="98781"/>
    <n v="2050548"/>
    <n v="1635.96"/>
    <n v="0"/>
    <n v="0"/>
    <n v="484"/>
    <n v="968"/>
    <n v="0"/>
    <n v="968"/>
    <n v="968"/>
    <x v="0"/>
    <x v="9"/>
    <n v="958"/>
    <n v="7"/>
    <n v="6706"/>
    <n v="393541"/>
  </r>
  <r>
    <d v="2023-10-10T00:00:00"/>
    <n v="0"/>
    <n v="98828"/>
    <n v="100687"/>
    <n v="98828"/>
    <n v="100588"/>
    <n v="1476269"/>
    <n v="1655.25"/>
    <n v="1"/>
    <n v="0"/>
    <n v="545"/>
    <n v="1091"/>
    <n v="0"/>
    <n v="545"/>
    <n v="545"/>
    <x v="0"/>
    <x v="9"/>
    <n v="535"/>
    <n v="7"/>
    <n v="3745"/>
    <n v="397286"/>
  </r>
  <r>
    <d v="2023-10-11T00:00:00"/>
    <n v="0"/>
    <n v="100526"/>
    <n v="101031"/>
    <n v="97030"/>
    <n v="97398"/>
    <n v="1621098"/>
    <n v="1822.8"/>
    <n v="0"/>
    <n v="1"/>
    <n v="552"/>
    <n v="1104"/>
    <n v="552"/>
    <n v="0"/>
    <n v="552"/>
    <x v="0"/>
    <x v="9"/>
    <n v="542"/>
    <n v="7"/>
    <n v="3794"/>
    <n v="401080"/>
  </r>
  <r>
    <d v="2023-10-12T00:00:00"/>
    <n v="0"/>
    <n v="97399"/>
    <n v="98517"/>
    <n v="96850"/>
    <n v="98153"/>
    <n v="1698941"/>
    <n v="1811.68"/>
    <n v="1"/>
    <n v="0"/>
    <n v="608"/>
    <n v="1215"/>
    <n v="0"/>
    <n v="-743"/>
    <n v="-743"/>
    <x v="0"/>
    <x v="9"/>
    <n v="-753"/>
    <n v="6"/>
    <n v="-4518"/>
    <n v="396562"/>
  </r>
  <r>
    <d v="2023-10-13T00:00:00"/>
    <n v="0"/>
    <n v="98188"/>
    <n v="98650"/>
    <n v="97372"/>
    <n v="97830"/>
    <n v="1154802"/>
    <n v="1773.56"/>
    <n v="0"/>
    <n v="1"/>
    <n v="604"/>
    <n v="1208"/>
    <n v="-491"/>
    <n v="0"/>
    <n v="-491"/>
    <x v="0"/>
    <x v="9"/>
    <n v="-501"/>
    <n v="6"/>
    <n v="-3006"/>
    <n v="393556"/>
  </r>
  <r>
    <d v="2023-10-16T00:00:00"/>
    <n v="0"/>
    <n v="97830"/>
    <n v="98156"/>
    <n v="97428"/>
    <n v="97825"/>
    <n v="786904"/>
    <n v="1698.87"/>
    <n v="0"/>
    <n v="0"/>
    <n v="591"/>
    <n v="1182"/>
    <n v="0"/>
    <n v="-103"/>
    <n v="-103"/>
    <x v="0"/>
    <x v="9"/>
    <n v="-113"/>
    <n v="6"/>
    <n v="-678"/>
    <n v="392878"/>
  </r>
  <r>
    <d v="2023-10-17T00:00:00"/>
    <n v="0"/>
    <n v="97895"/>
    <n v="98798"/>
    <n v="97653"/>
    <n v="98736"/>
    <n v="888759"/>
    <n v="1659.31"/>
    <n v="1"/>
    <n v="0"/>
    <n v="566"/>
    <n v="1133"/>
    <n v="0"/>
    <n v="-826"/>
    <n v="-826"/>
    <x v="0"/>
    <x v="9"/>
    <n v="-836"/>
    <n v="6"/>
    <n v="-5016"/>
    <n v="387862"/>
  </r>
  <r>
    <d v="2023-10-18T00:00:00"/>
    <n v="0"/>
    <n v="98735"/>
    <n v="98735"/>
    <n v="98060"/>
    <n v="98468"/>
    <n v="911172"/>
    <n v="1589.07"/>
    <n v="0"/>
    <n v="1"/>
    <n v="553"/>
    <n v="1106"/>
    <n v="-247"/>
    <n v="0"/>
    <n v="-247"/>
    <x v="0"/>
    <x v="9"/>
    <n v="-257"/>
    <n v="7"/>
    <n v="-1799"/>
    <n v="386063"/>
  </r>
  <r>
    <d v="2023-10-19T00:00:00"/>
    <n v="0"/>
    <n v="98496"/>
    <n v="98685"/>
    <n v="97656"/>
    <n v="97709"/>
    <n v="936776"/>
    <n v="1549.07"/>
    <n v="0"/>
    <n v="0"/>
    <n v="530"/>
    <n v="1059"/>
    <n v="0"/>
    <n v="682"/>
    <n v="682"/>
    <x v="0"/>
    <x v="9"/>
    <n v="672"/>
    <n v="7"/>
    <n v="4704"/>
    <n v="390767"/>
  </r>
  <r>
    <d v="2023-10-20T00:00:00"/>
    <n v="0"/>
    <n v="97735"/>
    <n v="97818"/>
    <n v="96138"/>
    <n v="96459"/>
    <n v="1013086"/>
    <n v="1558.42"/>
    <n v="0"/>
    <n v="0"/>
    <n v="516"/>
    <n v="1033"/>
    <n v="0"/>
    <n v="1033"/>
    <n v="1033"/>
    <x v="0"/>
    <x v="9"/>
    <n v="1023"/>
    <n v="7"/>
    <n v="7161"/>
    <n v="397928"/>
  </r>
  <r>
    <d v="2023-10-23T00:00:00"/>
    <n v="0"/>
    <n v="96460"/>
    <n v="96780"/>
    <n v="95192"/>
    <n v="95354"/>
    <n v="943978"/>
    <n v="1560.53"/>
    <n v="0"/>
    <n v="0"/>
    <n v="519"/>
    <n v="1039"/>
    <n v="0"/>
    <n v="1039"/>
    <n v="1039"/>
    <x v="0"/>
    <x v="9"/>
    <n v="1029"/>
    <n v="7"/>
    <n v="7203"/>
    <n v="405131"/>
  </r>
  <r>
    <d v="2023-10-24T00:00:00"/>
    <n v="0"/>
    <n v="95298"/>
    <n v="95298"/>
    <n v="94162"/>
    <n v="94259"/>
    <n v="886596"/>
    <n v="1534.21"/>
    <n v="0"/>
    <n v="0"/>
    <n v="520"/>
    <n v="1040"/>
    <n v="0"/>
    <n v="1040"/>
    <n v="1040"/>
    <x v="0"/>
    <x v="9"/>
    <n v="1030"/>
    <n v="7"/>
    <n v="7210"/>
    <n v="412341"/>
  </r>
  <r>
    <d v="2023-10-25T00:00:00"/>
    <n v="0"/>
    <n v="94240"/>
    <n v="94649"/>
    <n v="93901"/>
    <n v="94449"/>
    <n v="1177070"/>
    <n v="1478.05"/>
    <n v="1"/>
    <n v="0"/>
    <n v="511"/>
    <n v="1023"/>
    <n v="0"/>
    <n v="-179"/>
    <n v="-179"/>
    <x v="0"/>
    <x v="9"/>
    <n v="-189"/>
    <n v="8"/>
    <n v="-1512"/>
    <n v="410829"/>
  </r>
  <r>
    <d v="2023-10-26T00:00:00"/>
    <n v="0"/>
    <n v="94456"/>
    <n v="95290"/>
    <n v="94456"/>
    <n v="95161"/>
    <n v="931209"/>
    <n v="1432.55"/>
    <n v="1"/>
    <n v="1"/>
    <n v="493"/>
    <n v="985"/>
    <n v="799"/>
    <n v="0"/>
    <n v="799"/>
    <x v="0"/>
    <x v="9"/>
    <n v="789"/>
    <n v="8"/>
    <n v="6312"/>
    <n v="417141"/>
  </r>
  <r>
    <d v="2023-10-27T00:00:00"/>
    <n v="0"/>
    <n v="95200"/>
    <n v="95790"/>
    <n v="93680"/>
    <n v="95787"/>
    <n v="2009609"/>
    <n v="1480.94"/>
    <n v="1"/>
    <n v="1"/>
    <n v="478"/>
    <n v="955"/>
    <n v="426"/>
    <n v="0"/>
    <n v="426"/>
    <x v="0"/>
    <x v="9"/>
    <n v="416"/>
    <n v="8"/>
    <n v="3328"/>
    <n v="420469"/>
  </r>
  <r>
    <d v="2023-10-30T00:00:00"/>
    <n v="0"/>
    <n v="95725"/>
    <n v="95725"/>
    <n v="94036"/>
    <n v="94166"/>
    <n v="1039411"/>
    <n v="1500.23"/>
    <n v="0"/>
    <n v="1"/>
    <n v="494"/>
    <n v="987"/>
    <n v="494"/>
    <n v="0"/>
    <n v="494"/>
    <x v="0"/>
    <x v="9"/>
    <n v="484"/>
    <n v="8"/>
    <n v="3872"/>
    <n v="424341"/>
  </r>
  <r>
    <d v="2023-10-31T00:00:00"/>
    <n v="0"/>
    <n v="94200"/>
    <n v="95370"/>
    <n v="92968"/>
    <n v="95198"/>
    <n v="1886149"/>
    <n v="1564.64"/>
    <n v="1"/>
    <n v="0"/>
    <n v="500"/>
    <n v="1000"/>
    <n v="0"/>
    <n v="500"/>
    <n v="500"/>
    <x v="0"/>
    <x v="9"/>
    <n v="490"/>
    <n v="8"/>
    <n v="3920"/>
    <n v="428261"/>
  </r>
  <r>
    <d v="2023-11-01T00:00:00"/>
    <n v="0"/>
    <n v="94999"/>
    <n v="95441"/>
    <n v="94000"/>
    <n v="94299"/>
    <n v="1241116"/>
    <n v="1555.81"/>
    <n v="0"/>
    <n v="1"/>
    <n v="522"/>
    <n v="1043"/>
    <n v="522"/>
    <n v="0"/>
    <n v="522"/>
    <x v="0"/>
    <x v="10"/>
    <n v="512"/>
    <n v="8"/>
    <n v="4096"/>
    <n v="432357"/>
  </r>
  <r>
    <d v="2023-11-02T00:00:00"/>
    <n v="0"/>
    <n v="94401"/>
    <n v="94950"/>
    <n v="94303"/>
    <n v="94626"/>
    <n v="771742"/>
    <n v="1491.18"/>
    <n v="1"/>
    <n v="0"/>
    <n v="519"/>
    <n v="1037"/>
    <n v="0"/>
    <n v="-292"/>
    <n v="-292"/>
    <x v="0"/>
    <x v="10"/>
    <n v="-302"/>
    <n v="8"/>
    <n v="-2416"/>
    <n v="429941"/>
  </r>
  <r>
    <d v="2023-11-03T00:00:00"/>
    <n v="0"/>
    <n v="94656"/>
    <n v="94945"/>
    <n v="93467"/>
    <n v="93635"/>
    <n v="1111821"/>
    <n v="1490.24"/>
    <n v="0"/>
    <n v="1"/>
    <n v="497"/>
    <n v="994"/>
    <n v="497"/>
    <n v="0"/>
    <n v="497"/>
    <x v="0"/>
    <x v="10"/>
    <n v="487"/>
    <n v="8"/>
    <n v="3896"/>
    <n v="433837"/>
  </r>
  <r>
    <d v="2023-11-06T00:00:00"/>
    <n v="0"/>
    <n v="93615"/>
    <n v="93865"/>
    <n v="93162"/>
    <n v="93502"/>
    <n v="382645"/>
    <n v="1434.01"/>
    <n v="0"/>
    <n v="0"/>
    <n v="497"/>
    <n v="993"/>
    <n v="0"/>
    <n v="-4"/>
    <n v="-4"/>
    <x v="0"/>
    <x v="10"/>
    <n v="-14"/>
    <n v="8"/>
    <n v="-112"/>
    <n v="433725"/>
  </r>
  <r>
    <d v="2023-11-07T00:00:00"/>
    <n v="0"/>
    <n v="93670"/>
    <n v="94063"/>
    <n v="93366"/>
    <n v="93929"/>
    <n v="827872"/>
    <n v="1381.36"/>
    <n v="1"/>
    <n v="0"/>
    <n v="478"/>
    <n v="956"/>
    <n v="0"/>
    <n v="-235"/>
    <n v="-235"/>
    <x v="0"/>
    <x v="10"/>
    <n v="-245"/>
    <n v="9"/>
    <n v="-2205"/>
    <n v="431520"/>
  </r>
  <r>
    <d v="2023-11-08T00:00:00"/>
    <n v="0"/>
    <n v="93902"/>
    <n v="93902"/>
    <n v="92960"/>
    <n v="93160"/>
    <n v="796909"/>
    <n v="1351.91"/>
    <n v="0"/>
    <n v="1"/>
    <n v="460"/>
    <n v="921"/>
    <n v="460"/>
    <n v="0"/>
    <n v="460"/>
    <x v="0"/>
    <x v="10"/>
    <n v="450"/>
    <n v="9"/>
    <n v="4050"/>
    <n v="435570"/>
  </r>
  <r>
    <d v="2023-11-09T00:00:00"/>
    <n v="0"/>
    <n v="93195"/>
    <n v="93450"/>
    <n v="92860"/>
    <n v="93321"/>
    <n v="686919"/>
    <n v="1297.49"/>
    <n v="1"/>
    <n v="0"/>
    <n v="451"/>
    <n v="901"/>
    <n v="0"/>
    <n v="-205"/>
    <n v="-205"/>
    <x v="0"/>
    <x v="10"/>
    <n v="-215"/>
    <n v="9"/>
    <n v="-1935"/>
    <n v="433635"/>
  </r>
  <r>
    <d v="2023-11-10T00:00:00"/>
    <n v="0"/>
    <n v="93313"/>
    <n v="93830"/>
    <n v="93022"/>
    <n v="93680"/>
    <n v="634821"/>
    <n v="1262.52"/>
    <n v="1"/>
    <n v="1"/>
    <n v="432"/>
    <n v="865"/>
    <n v="391"/>
    <n v="0"/>
    <n v="391"/>
    <x v="0"/>
    <x v="10"/>
    <n v="381"/>
    <n v="10"/>
    <n v="3810"/>
    <n v="437445"/>
  </r>
  <r>
    <d v="2023-11-13T00:00:00"/>
    <n v="0"/>
    <n v="93651"/>
    <n v="93739"/>
    <n v="92461"/>
    <n v="92580"/>
    <n v="828167"/>
    <n v="1263.6300000000001"/>
    <n v="0"/>
    <n v="1"/>
    <n v="421"/>
    <n v="842"/>
    <n v="421"/>
    <n v="0"/>
    <n v="421"/>
    <x v="0"/>
    <x v="10"/>
    <n v="411"/>
    <n v="10"/>
    <n v="4110"/>
    <n v="441555"/>
  </r>
  <r>
    <d v="2023-11-14T00:00:00"/>
    <n v="0"/>
    <n v="92700"/>
    <n v="92800"/>
    <n v="91562"/>
    <n v="91652"/>
    <n v="831621"/>
    <n v="1261.8"/>
    <n v="0"/>
    <n v="0"/>
    <n v="421"/>
    <n v="842"/>
    <n v="0"/>
    <n v="842"/>
    <n v="842"/>
    <x v="0"/>
    <x v="10"/>
    <n v="832"/>
    <n v="10"/>
    <n v="8320"/>
    <n v="449875"/>
  </r>
  <r>
    <d v="2023-11-15T00:00:00"/>
    <n v="0"/>
    <n v="91548"/>
    <n v="91580"/>
    <n v="89976"/>
    <n v="90295"/>
    <n v="1459129"/>
    <n v="1291.3800000000001"/>
    <n v="0"/>
    <n v="0"/>
    <n v="421"/>
    <n v="841"/>
    <n v="0"/>
    <n v="841"/>
    <n v="841"/>
    <x v="0"/>
    <x v="10"/>
    <n v="831"/>
    <n v="10"/>
    <n v="8310"/>
    <n v="458185"/>
  </r>
  <r>
    <d v="2023-11-16T00:00:00"/>
    <n v="0"/>
    <n v="90251"/>
    <n v="90547"/>
    <n v="89630"/>
    <n v="90317"/>
    <n v="1009904"/>
    <n v="1264.6400000000001"/>
    <n v="1"/>
    <n v="0"/>
    <n v="430"/>
    <n v="861"/>
    <n v="0"/>
    <n v="-231"/>
    <n v="-231"/>
    <x v="0"/>
    <x v="10"/>
    <n v="-241"/>
    <n v="10"/>
    <n v="-2410"/>
    <n v="455775"/>
  </r>
  <r>
    <d v="2023-11-17T00:00:00"/>
    <n v="0"/>
    <n v="90300"/>
    <n v="91400"/>
    <n v="89926"/>
    <n v="90801"/>
    <n v="1127435"/>
    <n v="1279.5999999999999"/>
    <n v="1"/>
    <n v="1"/>
    <n v="422"/>
    <n v="843"/>
    <n v="618"/>
    <n v="0"/>
    <n v="618"/>
    <x v="0"/>
    <x v="10"/>
    <n v="608"/>
    <n v="10"/>
    <n v="6080"/>
    <n v="461855"/>
  </r>
  <r>
    <d v="2023-11-20T00:00:00"/>
    <n v="0"/>
    <n v="90686"/>
    <n v="90686"/>
    <n v="88553"/>
    <n v="88660"/>
    <n v="1450047"/>
    <n v="1348.77"/>
    <n v="0"/>
    <n v="1"/>
    <n v="427"/>
    <n v="853"/>
    <n v="427"/>
    <n v="0"/>
    <n v="427"/>
    <x v="0"/>
    <x v="10"/>
    <n v="417"/>
    <n v="10"/>
    <n v="4170"/>
    <n v="466025"/>
  </r>
  <r>
    <d v="2023-11-21T00:00:00"/>
    <n v="0"/>
    <n v="88480"/>
    <n v="88906"/>
    <n v="88029"/>
    <n v="88427"/>
    <n v="877636"/>
    <n v="1315.07"/>
    <n v="0"/>
    <n v="0"/>
    <n v="450"/>
    <n v="899"/>
    <n v="0"/>
    <n v="-45"/>
    <n v="-45"/>
    <x v="0"/>
    <x v="10"/>
    <n v="-55"/>
    <n v="10"/>
    <n v="-550"/>
    <n v="465475"/>
  </r>
  <r>
    <d v="2023-11-22T00:00:00"/>
    <n v="0"/>
    <n v="88637"/>
    <n v="89492"/>
    <n v="88501"/>
    <n v="88720"/>
    <n v="804678"/>
    <n v="1297.21"/>
    <n v="1"/>
    <n v="0"/>
    <n v="438"/>
    <n v="877"/>
    <n v="0"/>
    <n v="-149"/>
    <n v="-149"/>
    <x v="0"/>
    <x v="10"/>
    <n v="-159"/>
    <n v="10"/>
    <n v="-1590"/>
    <n v="463885"/>
  </r>
  <r>
    <d v="2023-11-23T00:00:00"/>
    <n v="0"/>
    <n v="88730"/>
    <n v="89428"/>
    <n v="88560"/>
    <n v="89096"/>
    <n v="720532"/>
    <n v="1266.55"/>
    <n v="1"/>
    <n v="1"/>
    <n v="432"/>
    <n v="865"/>
    <n v="339"/>
    <n v="0"/>
    <n v="339"/>
    <x v="0"/>
    <x v="10"/>
    <n v="329"/>
    <n v="10"/>
    <n v="3290"/>
    <n v="467175"/>
  </r>
  <r>
    <d v="2023-11-24T00:00:00"/>
    <n v="0"/>
    <n v="89278"/>
    <n v="90080"/>
    <n v="88971"/>
    <n v="89415"/>
    <n v="1490109"/>
    <n v="1255.3"/>
    <n v="1"/>
    <n v="1"/>
    <n v="422"/>
    <n v="844"/>
    <n v="157"/>
    <n v="0"/>
    <n v="157"/>
    <x v="0"/>
    <x v="10"/>
    <n v="147"/>
    <n v="11"/>
    <n v="1617"/>
    <n v="468792"/>
  </r>
  <r>
    <d v="2023-11-27T00:00:00"/>
    <n v="0"/>
    <n v="89621"/>
    <n v="89840"/>
    <n v="89005"/>
    <n v="89800"/>
    <n v="769240"/>
    <n v="1225.28"/>
    <n v="1"/>
    <n v="1"/>
    <n v="418"/>
    <n v="837"/>
    <n v="125"/>
    <n v="0"/>
    <n v="125"/>
    <x v="0"/>
    <x v="10"/>
    <n v="115"/>
    <n v="11"/>
    <n v="1265"/>
    <n v="470057"/>
  </r>
  <r>
    <d v="2023-11-28T00:00:00"/>
    <n v="0"/>
    <n v="89715"/>
    <n v="90262"/>
    <n v="89230"/>
    <n v="90000"/>
    <n v="999917"/>
    <n v="1211.47"/>
    <n v="1"/>
    <n v="1"/>
    <n v="408"/>
    <n v="817"/>
    <n v="357"/>
    <n v="0"/>
    <n v="357"/>
    <x v="0"/>
    <x v="10"/>
    <n v="347"/>
    <n v="11"/>
    <n v="3817"/>
    <n v="473874"/>
  </r>
  <r>
    <d v="2023-11-29T00:00:00"/>
    <n v="0"/>
    <n v="89910"/>
    <n v="89922"/>
    <n v="89034"/>
    <n v="89034"/>
    <n v="1104099"/>
    <n v="1193.94"/>
    <n v="0"/>
    <n v="1"/>
    <n v="404"/>
    <n v="808"/>
    <n v="404"/>
    <n v="0"/>
    <n v="404"/>
    <x v="0"/>
    <x v="10"/>
    <n v="394"/>
    <n v="11"/>
    <n v="4334"/>
    <n v="478208"/>
  </r>
  <r>
    <d v="2023-11-30T00:00:00"/>
    <n v="0"/>
    <n v="89109"/>
    <n v="90305"/>
    <n v="88899"/>
    <n v="89990"/>
    <n v="1019268"/>
    <n v="1209.08"/>
    <n v="1"/>
    <n v="0"/>
    <n v="398"/>
    <n v="796"/>
    <n v="0"/>
    <n v="398"/>
    <n v="398"/>
    <x v="0"/>
    <x v="10"/>
    <n v="388"/>
    <n v="12"/>
    <n v="4656"/>
    <n v="482864"/>
  </r>
  <r>
    <d v="2023-12-01T00:00:00"/>
    <n v="0"/>
    <n v="89980"/>
    <n v="91019"/>
    <n v="89741"/>
    <n v="90757"/>
    <n v="858352"/>
    <n v="1214.01"/>
    <n v="1"/>
    <n v="1"/>
    <n v="403"/>
    <n v="806"/>
    <n v="860"/>
    <n v="0"/>
    <n v="860"/>
    <x v="0"/>
    <x v="11"/>
    <n v="850"/>
    <n v="11"/>
    <n v="9350"/>
    <n v="492214"/>
  </r>
  <r>
    <d v="2023-12-04T00:00:00"/>
    <n v="0"/>
    <n v="90830"/>
    <n v="91695"/>
    <n v="90826"/>
    <n v="91546"/>
    <n v="821856"/>
    <n v="1194.29"/>
    <n v="1"/>
    <n v="1"/>
    <n v="405"/>
    <n v="809"/>
    <n v="647"/>
    <n v="0"/>
    <n v="647"/>
    <x v="0"/>
    <x v="11"/>
    <n v="637"/>
    <n v="12"/>
    <n v="7644"/>
    <n v="499858"/>
  </r>
  <r>
    <d v="2023-12-05T00:00:00"/>
    <n v="0"/>
    <n v="91901"/>
    <n v="93180"/>
    <n v="91650"/>
    <n v="93166"/>
    <n v="1227226"/>
    <n v="1225.7"/>
    <n v="1"/>
    <n v="1"/>
    <n v="398"/>
    <n v="796"/>
    <n v="796"/>
    <n v="0"/>
    <n v="796"/>
    <x v="0"/>
    <x v="11"/>
    <n v="786"/>
    <n v="12"/>
    <n v="9432"/>
    <n v="509290"/>
  </r>
  <r>
    <d v="2023-12-06T00:00:00"/>
    <n v="0"/>
    <n v="93197"/>
    <n v="93870"/>
    <n v="92200"/>
    <n v="93350"/>
    <n v="1425020"/>
    <n v="1257.44"/>
    <n v="1"/>
    <n v="1"/>
    <n v="409"/>
    <n v="817"/>
    <n v="188"/>
    <n v="0"/>
    <n v="188"/>
    <x v="0"/>
    <x v="11"/>
    <n v="178"/>
    <n v="12"/>
    <n v="2136"/>
    <n v="511426"/>
  </r>
  <r>
    <d v="2023-12-07T00:00:00"/>
    <n v="0"/>
    <n v="93459"/>
    <n v="93550"/>
    <n v="91811"/>
    <n v="92180"/>
    <n v="1183914"/>
    <n v="1291.83"/>
    <n v="0"/>
    <n v="1"/>
    <n v="419"/>
    <n v="838"/>
    <n v="419"/>
    <n v="0"/>
    <n v="419"/>
    <x v="0"/>
    <x v="11"/>
    <n v="409"/>
    <n v="12"/>
    <n v="4908"/>
    <n v="516334"/>
  </r>
  <r>
    <d v="2023-12-08T00:00:00"/>
    <n v="0"/>
    <n v="92208"/>
    <n v="92348"/>
    <n v="90899"/>
    <n v="91900"/>
    <n v="1579150"/>
    <n v="1303.06"/>
    <n v="0"/>
    <n v="0"/>
    <n v="431"/>
    <n v="861"/>
    <n v="0"/>
    <n v="373"/>
    <n v="373"/>
    <x v="0"/>
    <x v="11"/>
    <n v="363"/>
    <n v="11"/>
    <n v="3993"/>
    <n v="520327"/>
  </r>
  <r>
    <d v="2023-12-11T00:00:00"/>
    <n v="0"/>
    <n v="91783"/>
    <n v="91784"/>
    <n v="90400"/>
    <n v="90594"/>
    <n v="1401949"/>
    <n v="1317.13"/>
    <n v="0"/>
    <n v="0"/>
    <n v="434"/>
    <n v="869"/>
    <n v="0"/>
    <n v="869"/>
    <n v="869"/>
    <x v="0"/>
    <x v="11"/>
    <n v="859"/>
    <n v="11"/>
    <n v="9449"/>
    <n v="529776"/>
  </r>
  <r>
    <d v="2023-12-12T00:00:00"/>
    <n v="0"/>
    <n v="90600"/>
    <n v="90633"/>
    <n v="89804"/>
    <n v="90009"/>
    <n v="1052564"/>
    <n v="1282.26"/>
    <n v="0"/>
    <n v="0"/>
    <n v="439"/>
    <n v="878"/>
    <n v="0"/>
    <n v="631"/>
    <n v="631"/>
    <x v="0"/>
    <x v="11"/>
    <n v="621"/>
    <n v="12"/>
    <n v="7452"/>
    <n v="537228"/>
  </r>
  <r>
    <d v="2023-12-13T00:00:00"/>
    <n v="0"/>
    <n v="89822"/>
    <n v="90152"/>
    <n v="89285"/>
    <n v="89322"/>
    <n v="1224789"/>
    <n v="1252.5999999999999"/>
    <n v="0"/>
    <n v="0"/>
    <n v="427"/>
    <n v="855"/>
    <n v="0"/>
    <n v="274"/>
    <n v="274"/>
    <x v="0"/>
    <x v="11"/>
    <n v="264"/>
    <n v="12"/>
    <n v="3168"/>
    <n v="540396"/>
  </r>
  <r>
    <d v="2023-12-14T00:00:00"/>
    <n v="0"/>
    <n v="89300"/>
    <n v="90499"/>
    <n v="89123"/>
    <n v="90360"/>
    <n v="1261612"/>
    <n v="1261.4100000000001"/>
    <n v="1"/>
    <n v="0"/>
    <n v="418"/>
    <n v="835"/>
    <n v="0"/>
    <n v="418"/>
    <n v="418"/>
    <x v="0"/>
    <x v="11"/>
    <n v="408"/>
    <n v="12"/>
    <n v="4896"/>
    <n v="545292"/>
  </r>
  <r>
    <d v="2023-12-15T00:00:00"/>
    <n v="0"/>
    <n v="90073"/>
    <n v="90750"/>
    <n v="89555"/>
    <n v="90337"/>
    <n v="1654221"/>
    <n v="1256.67"/>
    <n v="1"/>
    <n v="1"/>
    <n v="420"/>
    <n v="841"/>
    <n v="265"/>
    <n v="0"/>
    <n v="265"/>
    <x v="0"/>
    <x v="11"/>
    <n v="255"/>
    <n v="12"/>
    <n v="3060"/>
    <n v="548352"/>
  </r>
  <r>
    <d v="2023-12-18T00:00:00"/>
    <n v="0"/>
    <n v="90365"/>
    <n v="90849"/>
    <n v="89670"/>
    <n v="89789"/>
    <n v="1066465"/>
    <n v="1251.1199999999999"/>
    <n v="0"/>
    <n v="1"/>
    <n v="419"/>
    <n v="838"/>
    <n v="419"/>
    <n v="0"/>
    <n v="419"/>
    <x v="0"/>
    <x v="11"/>
    <n v="409"/>
    <n v="13"/>
    <n v="5317"/>
    <n v="553669"/>
  </r>
  <r>
    <d v="2023-12-19T00:00:00"/>
    <n v="0"/>
    <n v="89859"/>
    <n v="90712"/>
    <n v="89612"/>
    <n v="90456"/>
    <n v="766455"/>
    <n v="1240.33"/>
    <n v="1"/>
    <n v="0"/>
    <n v="417"/>
    <n v="834"/>
    <n v="0"/>
    <n v="-693"/>
    <n v="-693"/>
    <x v="0"/>
    <x v="11"/>
    <n v="-703"/>
    <n v="13"/>
    <n v="-9139"/>
    <n v="544530"/>
  </r>
  <r>
    <d v="2023-12-20T00:00:00"/>
    <n v="0"/>
    <n v="91360"/>
    <n v="92185"/>
    <n v="91116"/>
    <n v="92088"/>
    <n v="684296"/>
    <n v="1275.23"/>
    <n v="1"/>
    <n v="1"/>
    <n v="413"/>
    <n v="827"/>
    <n v="671"/>
    <n v="0"/>
    <n v="671"/>
    <x v="0"/>
    <x v="11"/>
    <n v="661"/>
    <n v="13"/>
    <n v="8593"/>
    <n v="553123"/>
  </r>
  <r>
    <d v="2023-12-21T00:00:00"/>
    <n v="0"/>
    <n v="91790"/>
    <n v="93205"/>
    <n v="91617"/>
    <n v="92222"/>
    <n v="1416935"/>
    <n v="1297.57"/>
    <n v="1"/>
    <n v="1"/>
    <n v="425"/>
    <n v="850"/>
    <n v="451"/>
    <n v="0"/>
    <n v="451"/>
    <x v="0"/>
    <x v="11"/>
    <n v="441"/>
    <n v="13"/>
    <n v="5733"/>
    <n v="558856"/>
  </r>
  <r>
    <d v="2023-12-22T00:00:00"/>
    <n v="0"/>
    <n v="92196"/>
    <n v="92744"/>
    <n v="91456"/>
    <n v="92061"/>
    <n v="1014924"/>
    <n v="1296.8900000000001"/>
    <n v="0"/>
    <n v="1"/>
    <n v="433"/>
    <n v="865"/>
    <n v="-79"/>
    <n v="0"/>
    <n v="-79"/>
    <x v="0"/>
    <x v="11"/>
    <n v="-89"/>
    <n v="12"/>
    <n v="-1068"/>
    <n v="557788"/>
  </r>
  <r>
    <d v="2023-12-25T00:00:00"/>
    <n v="0"/>
    <n v="91976"/>
    <n v="92844"/>
    <n v="91408"/>
    <n v="91647"/>
    <n v="984148"/>
    <n v="1306.83"/>
    <n v="0"/>
    <n v="0"/>
    <n v="432"/>
    <n v="865"/>
    <n v="0"/>
    <n v="363"/>
    <n v="363"/>
    <x v="0"/>
    <x v="11"/>
    <n v="353"/>
    <n v="12"/>
    <n v="4236"/>
    <n v="562024"/>
  </r>
  <r>
    <d v="2023-12-26T00:00:00"/>
    <n v="0"/>
    <n v="91539"/>
    <n v="92300"/>
    <n v="91318"/>
    <n v="92002"/>
    <n v="830148"/>
    <n v="1283.6199999999999"/>
    <n v="1"/>
    <n v="0"/>
    <n v="436"/>
    <n v="871"/>
    <n v="0"/>
    <n v="-481"/>
    <n v="-481"/>
    <x v="0"/>
    <x v="11"/>
    <n v="-491"/>
    <n v="12"/>
    <n v="-5892"/>
    <n v="556132"/>
  </r>
  <r>
    <d v="2023-12-27T00:00:00"/>
    <n v="0"/>
    <n v="92049"/>
    <n v="92889"/>
    <n v="91814"/>
    <n v="92244"/>
    <n v="896192"/>
    <n v="1268.72"/>
    <n v="1"/>
    <n v="1"/>
    <n v="428"/>
    <n v="856"/>
    <n v="175"/>
    <n v="0"/>
    <n v="175"/>
    <x v="0"/>
    <x v="11"/>
    <n v="165"/>
    <n v="12"/>
    <n v="1980"/>
    <n v="558112"/>
  </r>
  <r>
    <d v="2023-12-28T00:00:00"/>
    <n v="0"/>
    <n v="92195"/>
    <n v="92199"/>
    <n v="90624"/>
    <n v="91177"/>
    <n v="1340215"/>
    <n v="1293.81"/>
    <n v="0"/>
    <n v="1"/>
    <n v="423"/>
    <n v="846"/>
    <n v="423"/>
    <n v="0"/>
    <n v="423"/>
    <x v="0"/>
    <x v="11"/>
    <n v="413"/>
    <n v="13"/>
    <n v="5369"/>
    <n v="563481"/>
  </r>
  <r>
    <d v="2023-12-29T00:00:00"/>
    <n v="0"/>
    <n v="91464"/>
    <n v="91994"/>
    <n v="90527"/>
    <n v="91850"/>
    <n v="1008565"/>
    <n v="1306.18"/>
    <n v="1"/>
    <n v="0"/>
    <n v="431"/>
    <n v="863"/>
    <n v="0"/>
    <n v="-402"/>
    <n v="-402"/>
    <x v="0"/>
    <x v="11"/>
    <n v="-412"/>
    <n v="13"/>
    <n v="-5356"/>
    <n v="558125"/>
  </r>
  <r>
    <d v="2024-01-03T00:00:00"/>
    <n v="0"/>
    <n v="92002"/>
    <n v="93387"/>
    <n v="92002"/>
    <n v="93258"/>
    <n v="436455"/>
    <n v="1322.67"/>
    <n v="1"/>
    <n v="1"/>
    <n v="435"/>
    <n v="871"/>
    <n v="871"/>
    <n v="0"/>
    <n v="871"/>
    <x v="1"/>
    <x v="0"/>
    <n v="861"/>
    <n v="12"/>
    <n v="10332"/>
    <n v="568457"/>
  </r>
  <r>
    <d v="2024-01-04T00:00:00"/>
    <n v="0"/>
    <n v="93279"/>
    <n v="93383"/>
    <n v="92025"/>
    <n v="92200"/>
    <n v="508063"/>
    <n v="1325.19"/>
    <n v="0"/>
    <n v="1"/>
    <n v="441"/>
    <n v="882"/>
    <n v="441"/>
    <n v="0"/>
    <n v="441"/>
    <x v="1"/>
    <x v="0"/>
    <n v="431"/>
    <n v="12"/>
    <n v="5172"/>
    <n v="573629"/>
  </r>
  <r>
    <d v="2024-01-05T00:00:00"/>
    <n v="0"/>
    <n v="92177"/>
    <n v="92447"/>
    <n v="91205"/>
    <n v="91391"/>
    <n v="489702"/>
    <n v="1319.25"/>
    <n v="0"/>
    <n v="0"/>
    <n v="442"/>
    <n v="883"/>
    <n v="0"/>
    <n v="907"/>
    <n v="907"/>
    <x v="1"/>
    <x v="0"/>
    <n v="897"/>
    <n v="12"/>
    <n v="10764"/>
    <n v="584393"/>
  </r>
  <r>
    <d v="2024-01-08T00:00:00"/>
    <n v="0"/>
    <n v="91472"/>
    <n v="92499"/>
    <n v="90955"/>
    <n v="92038"/>
    <n v="726309"/>
    <n v="1335.31"/>
    <n v="1"/>
    <n v="0"/>
    <n v="440"/>
    <n v="880"/>
    <n v="0"/>
    <n v="-553"/>
    <n v="-553"/>
    <x v="1"/>
    <x v="0"/>
    <n v="-563"/>
    <n v="13"/>
    <n v="-7319"/>
    <n v="577074"/>
  </r>
  <r>
    <d v="2024-01-09T00:00:00"/>
    <n v="0"/>
    <n v="92000"/>
    <n v="92056"/>
    <n v="90377"/>
    <n v="91060"/>
    <n v="943476"/>
    <n v="1359.85"/>
    <n v="0"/>
    <n v="1"/>
    <n v="445"/>
    <n v="890"/>
    <n v="445"/>
    <n v="0"/>
    <n v="445"/>
    <x v="1"/>
    <x v="0"/>
    <n v="435"/>
    <n v="12"/>
    <n v="5220"/>
    <n v="582294"/>
  </r>
  <r>
    <d v="2024-01-10T00:00:00"/>
    <n v="0"/>
    <n v="91008"/>
    <n v="91178"/>
    <n v="90510"/>
    <n v="90972"/>
    <n v="734790"/>
    <n v="1310.44"/>
    <n v="0"/>
    <n v="0"/>
    <n v="453"/>
    <n v="907"/>
    <n v="0"/>
    <n v="36"/>
    <n v="36"/>
    <x v="1"/>
    <x v="0"/>
    <n v="26"/>
    <n v="12"/>
    <n v="312"/>
    <n v="582606"/>
  </r>
  <r>
    <d v="2024-01-11T00:00:00"/>
    <n v="0"/>
    <n v="90985"/>
    <n v="91050"/>
    <n v="89810"/>
    <n v="89869"/>
    <n v="879918"/>
    <n v="1305.4100000000001"/>
    <n v="0"/>
    <n v="0"/>
    <n v="437"/>
    <n v="874"/>
    <n v="0"/>
    <n v="874"/>
    <n v="874"/>
    <x v="1"/>
    <x v="0"/>
    <n v="864"/>
    <n v="13"/>
    <n v="11232"/>
    <n v="593838"/>
  </r>
  <r>
    <d v="2024-01-12T00:00:00"/>
    <n v="0"/>
    <n v="89809"/>
    <n v="90115"/>
    <n v="89321"/>
    <n v="89897"/>
    <n v="719083"/>
    <n v="1268.8800000000001"/>
    <n v="1"/>
    <n v="0"/>
    <n v="435"/>
    <n v="870"/>
    <n v="0"/>
    <n v="-69"/>
    <n v="-69"/>
    <x v="1"/>
    <x v="0"/>
    <n v="-79"/>
    <n v="13"/>
    <n v="-1027"/>
    <n v="592811"/>
  </r>
  <r>
    <d v="2024-01-15T00:00:00"/>
    <n v="0"/>
    <n v="89670"/>
    <n v="89743"/>
    <n v="89000"/>
    <n v="89171"/>
    <n v="899834"/>
    <n v="1242.31"/>
    <n v="0"/>
    <n v="1"/>
    <n v="423"/>
    <n v="846"/>
    <n v="423"/>
    <n v="0"/>
    <n v="423"/>
    <x v="1"/>
    <x v="0"/>
    <n v="413"/>
    <n v="14"/>
    <n v="5782"/>
    <n v="598593"/>
  </r>
  <r>
    <d v="2024-01-16T00:00:00"/>
    <n v="0"/>
    <n v="89218"/>
    <n v="90107"/>
    <n v="88945"/>
    <n v="89415"/>
    <n v="895609"/>
    <n v="1236.58"/>
    <n v="1"/>
    <n v="0"/>
    <n v="414"/>
    <n v="828"/>
    <n v="0"/>
    <n v="-168"/>
    <n v="-168"/>
    <x v="1"/>
    <x v="0"/>
    <n v="-178"/>
    <n v="14"/>
    <n v="-2492"/>
    <n v="596101"/>
  </r>
  <r>
    <d v="2024-01-17T00:00:00"/>
    <n v="0"/>
    <n v="89509"/>
    <n v="90542"/>
    <n v="89381"/>
    <n v="90255"/>
    <n v="916160"/>
    <n v="1231.18"/>
    <n v="1"/>
    <n v="1"/>
    <n v="412"/>
    <n v="824"/>
    <n v="745"/>
    <n v="0"/>
    <n v="745"/>
    <x v="1"/>
    <x v="0"/>
    <n v="735"/>
    <n v="14"/>
    <n v="10290"/>
    <n v="606391"/>
  </r>
  <r>
    <d v="2024-01-18T00:00:00"/>
    <n v="0"/>
    <n v="90507"/>
    <n v="90720"/>
    <n v="89923"/>
    <n v="90489"/>
    <n v="766002"/>
    <n v="1200.17"/>
    <n v="0"/>
    <n v="1"/>
    <n v="410"/>
    <n v="821"/>
    <n v="24"/>
    <n v="0"/>
    <n v="24"/>
    <x v="1"/>
    <x v="0"/>
    <n v="14"/>
    <n v="14"/>
    <n v="196"/>
    <n v="606587"/>
  </r>
  <r>
    <d v="2024-01-19T00:00:00"/>
    <n v="0"/>
    <n v="90480"/>
    <n v="90481"/>
    <n v="89507"/>
    <n v="89668"/>
    <n v="719369"/>
    <n v="1184.58"/>
    <n v="0"/>
    <n v="0"/>
    <n v="400"/>
    <n v="800"/>
    <n v="0"/>
    <n v="800"/>
    <n v="800"/>
    <x v="1"/>
    <x v="0"/>
    <n v="790"/>
    <n v="15"/>
    <n v="11850"/>
    <n v="618437"/>
  </r>
  <r>
    <d v="2024-01-22T00:00:00"/>
    <n v="0"/>
    <n v="89723"/>
    <n v="89830"/>
    <n v="89042"/>
    <n v="89501"/>
    <n v="656888"/>
    <n v="1156.26"/>
    <n v="0"/>
    <n v="0"/>
    <n v="395"/>
    <n v="790"/>
    <n v="0"/>
    <n v="159"/>
    <n v="159"/>
    <x v="1"/>
    <x v="0"/>
    <n v="149"/>
    <n v="15"/>
    <n v="2235"/>
    <n v="620672"/>
  </r>
  <r>
    <d v="2024-01-23T00:00:00"/>
    <n v="0"/>
    <n v="89444"/>
    <n v="90520"/>
    <n v="88988"/>
    <n v="90297"/>
    <n v="815010"/>
    <n v="1183.0899999999999"/>
    <n v="1"/>
    <n v="0"/>
    <n v="385"/>
    <n v="771"/>
    <n v="0"/>
    <n v="385"/>
    <n v="385"/>
    <x v="1"/>
    <x v="0"/>
    <n v="375"/>
    <n v="16"/>
    <n v="6000"/>
    <n v="626672"/>
  </r>
  <r>
    <d v="2024-01-24T00:00:00"/>
    <n v="0"/>
    <n v="90016"/>
    <n v="90242"/>
    <n v="89598"/>
    <n v="89968"/>
    <n v="745197"/>
    <n v="1148.52"/>
    <n v="0"/>
    <n v="1"/>
    <n v="394"/>
    <n v="789"/>
    <n v="51"/>
    <n v="0"/>
    <n v="51"/>
    <x v="1"/>
    <x v="0"/>
    <n v="41"/>
    <n v="15"/>
    <n v="615"/>
    <n v="627287"/>
  </r>
  <r>
    <d v="2024-01-25T00:00:00"/>
    <n v="0"/>
    <n v="90018"/>
    <n v="90983"/>
    <n v="89942"/>
    <n v="90505"/>
    <n v="871678"/>
    <n v="1140.8399999999999"/>
    <n v="1"/>
    <n v="0"/>
    <n v="383"/>
    <n v="766"/>
    <n v="0"/>
    <n v="-522"/>
    <n v="-522"/>
    <x v="1"/>
    <x v="0"/>
    <n v="-532"/>
    <n v="16"/>
    <n v="-8512"/>
    <n v="618775"/>
  </r>
  <r>
    <d v="2024-01-26T00:00:00"/>
    <n v="0"/>
    <n v="90678"/>
    <n v="91640"/>
    <n v="90505"/>
    <n v="91560"/>
    <n v="1085182"/>
    <n v="1140.42"/>
    <n v="1"/>
    <n v="1"/>
    <n v="380"/>
    <n v="761"/>
    <n v="761"/>
    <n v="0"/>
    <n v="761"/>
    <x v="1"/>
    <x v="0"/>
    <n v="751"/>
    <n v="16"/>
    <n v="12016"/>
    <n v="630791"/>
  </r>
  <r>
    <d v="2024-01-29T00:00:00"/>
    <n v="0"/>
    <n v="91774"/>
    <n v="91800"/>
    <n v="90200"/>
    <n v="90260"/>
    <n v="898523"/>
    <n v="1173.25"/>
    <n v="0"/>
    <n v="1"/>
    <n v="380"/>
    <n v="760"/>
    <n v="380"/>
    <n v="0"/>
    <n v="380"/>
    <x v="1"/>
    <x v="0"/>
    <n v="370"/>
    <n v="16"/>
    <n v="5920"/>
    <n v="636711"/>
  </r>
  <r>
    <d v="2024-01-30T00:00:00"/>
    <n v="0"/>
    <n v="90293"/>
    <n v="91020"/>
    <n v="89919"/>
    <n v="90820"/>
    <n v="746473"/>
    <n v="1168.0899999999999"/>
    <n v="1"/>
    <n v="0"/>
    <n v="391"/>
    <n v="782"/>
    <n v="0"/>
    <n v="-572"/>
    <n v="-572"/>
    <x v="1"/>
    <x v="0"/>
    <n v="-582"/>
    <n v="16"/>
    <n v="-9312"/>
    <n v="627399"/>
  </r>
  <r>
    <d v="2024-01-31T00:00:00"/>
    <n v="0"/>
    <n v="90848"/>
    <n v="91488"/>
    <n v="90579"/>
    <n v="91457"/>
    <n v="972957"/>
    <n v="1149.58"/>
    <n v="1"/>
    <n v="1"/>
    <n v="389"/>
    <n v="779"/>
    <n v="601"/>
    <n v="0"/>
    <n v="601"/>
    <x v="1"/>
    <x v="0"/>
    <n v="591"/>
    <n v="16"/>
    <n v="9456"/>
    <n v="636855"/>
  </r>
  <r>
    <d v="2024-02-01T00:00:00"/>
    <n v="0"/>
    <n v="91481"/>
    <n v="92000"/>
    <n v="91131"/>
    <n v="91834"/>
    <n v="793348"/>
    <n v="1129.54"/>
    <n v="1"/>
    <n v="1"/>
    <n v="383"/>
    <n v="766"/>
    <n v="420"/>
    <n v="0"/>
    <n v="420"/>
    <x v="1"/>
    <x v="1"/>
    <n v="410"/>
    <n v="16"/>
    <n v="6560"/>
    <n v="643415"/>
  </r>
  <r>
    <d v="2024-02-02T00:00:00"/>
    <n v="0"/>
    <n v="91939"/>
    <n v="92795"/>
    <n v="91772"/>
    <n v="92184"/>
    <n v="1038800"/>
    <n v="1121.93"/>
    <n v="1"/>
    <n v="1"/>
    <n v="377"/>
    <n v="753"/>
    <n v="271"/>
    <n v="0"/>
    <n v="271"/>
    <x v="1"/>
    <x v="1"/>
    <n v="261"/>
    <n v="17"/>
    <n v="4437"/>
    <n v="647852"/>
  </r>
  <r>
    <d v="2024-02-05T00:00:00"/>
    <n v="0"/>
    <n v="92310"/>
    <n v="93144"/>
    <n v="91531"/>
    <n v="91774"/>
    <n v="1215951"/>
    <n v="1157.01"/>
    <n v="0"/>
    <n v="1"/>
    <n v="374"/>
    <n v="748"/>
    <n v="374"/>
    <n v="0"/>
    <n v="374"/>
    <x v="1"/>
    <x v="1"/>
    <n v="364"/>
    <n v="17"/>
    <n v="6188"/>
    <n v="654040"/>
  </r>
  <r>
    <d v="2024-02-06T00:00:00"/>
    <n v="0"/>
    <n v="91771"/>
    <n v="92559"/>
    <n v="91680"/>
    <n v="92469"/>
    <n v="706853"/>
    <n v="1137.1500000000001"/>
    <n v="1"/>
    <n v="0"/>
    <n v="386"/>
    <n v="771"/>
    <n v="0"/>
    <n v="-715"/>
    <n v="-715"/>
    <x v="1"/>
    <x v="1"/>
    <n v="-725"/>
    <n v="16"/>
    <n v="-11600"/>
    <n v="642440"/>
  </r>
  <r>
    <d v="2024-02-07T00:00:00"/>
    <n v="0"/>
    <n v="92410"/>
    <n v="92846"/>
    <n v="91934"/>
    <n v="92573"/>
    <n v="790778"/>
    <n v="1121.07"/>
    <n v="1"/>
    <n v="1"/>
    <n v="379"/>
    <n v="758"/>
    <n v="224"/>
    <n v="0"/>
    <n v="224"/>
    <x v="1"/>
    <x v="1"/>
    <n v="214"/>
    <n v="16"/>
    <n v="3424"/>
    <n v="645864"/>
  </r>
  <r>
    <d v="2024-02-08T00:00:00"/>
    <n v="0"/>
    <n v="92566"/>
    <n v="92721"/>
    <n v="91439"/>
    <n v="91585"/>
    <n v="939365"/>
    <n v="1132.56"/>
    <n v="0"/>
    <n v="1"/>
    <n v="374"/>
    <n v="747"/>
    <n v="374"/>
    <n v="0"/>
    <n v="374"/>
    <x v="1"/>
    <x v="1"/>
    <n v="364"/>
    <n v="17"/>
    <n v="6188"/>
    <n v="652052"/>
  </r>
  <r>
    <d v="2024-02-09T00:00:00"/>
    <n v="0"/>
    <n v="91683"/>
    <n v="92048"/>
    <n v="91327"/>
    <n v="91941"/>
    <n v="736507"/>
    <n v="1103.1600000000001"/>
    <n v="1"/>
    <n v="0"/>
    <n v="378"/>
    <n v="755"/>
    <n v="0"/>
    <n v="-276"/>
    <n v="-276"/>
    <x v="1"/>
    <x v="1"/>
    <n v="-286"/>
    <n v="17"/>
    <n v="-4862"/>
    <n v="647190"/>
  </r>
  <r>
    <d v="2024-02-12T00:00:00"/>
    <n v="0"/>
    <n v="91919"/>
    <n v="92266"/>
    <n v="91600"/>
    <n v="92016"/>
    <n v="744786"/>
    <n v="1071.94"/>
    <n v="1"/>
    <n v="1"/>
    <n v="368"/>
    <n v="735"/>
    <n v="86"/>
    <n v="0"/>
    <n v="86"/>
    <x v="1"/>
    <x v="1"/>
    <n v="76"/>
    <n v="17"/>
    <n v="1292"/>
    <n v="648482"/>
  </r>
  <r>
    <d v="2024-02-13T00:00:00"/>
    <n v="0"/>
    <n v="91985"/>
    <n v="92355"/>
    <n v="91811"/>
    <n v="92028"/>
    <n v="653896"/>
    <n v="1034.23"/>
    <n v="1"/>
    <n v="1"/>
    <n v="357"/>
    <n v="715"/>
    <n v="127"/>
    <n v="0"/>
    <n v="127"/>
    <x v="1"/>
    <x v="1"/>
    <n v="117"/>
    <n v="18"/>
    <n v="2106"/>
    <n v="650588"/>
  </r>
  <r>
    <d v="2024-02-14T00:00:00"/>
    <n v="0"/>
    <n v="92078"/>
    <n v="92551"/>
    <n v="91959"/>
    <n v="92367"/>
    <n v="653793"/>
    <n v="1002.64"/>
    <n v="1"/>
    <n v="1"/>
    <n v="345"/>
    <n v="689"/>
    <n v="307"/>
    <n v="0"/>
    <n v="307"/>
    <x v="1"/>
    <x v="1"/>
    <n v="297"/>
    <n v="18"/>
    <n v="5346"/>
    <n v="655934"/>
  </r>
  <r>
    <d v="2024-02-15T00:00:00"/>
    <n v="0"/>
    <n v="92390"/>
    <n v="93173"/>
    <n v="92183"/>
    <n v="92934"/>
    <n v="900648"/>
    <n v="1001.74"/>
    <n v="1"/>
    <n v="1"/>
    <n v="334"/>
    <n v="668"/>
    <n v="574"/>
    <n v="0"/>
    <n v="574"/>
    <x v="1"/>
    <x v="1"/>
    <n v="564"/>
    <n v="19"/>
    <n v="10716"/>
    <n v="666650"/>
  </r>
  <r>
    <d v="2024-02-16T00:00:00"/>
    <n v="0"/>
    <n v="92993"/>
    <n v="93443"/>
    <n v="92277"/>
    <n v="92519"/>
    <n v="1342145"/>
    <n v="1013.47"/>
    <n v="0"/>
    <n v="1"/>
    <n v="334"/>
    <n v="668"/>
    <n v="334"/>
    <n v="0"/>
    <n v="334"/>
    <x v="1"/>
    <x v="1"/>
    <n v="324"/>
    <n v="19"/>
    <n v="6156"/>
    <n v="672806"/>
  </r>
  <r>
    <d v="2024-02-19T00:00:00"/>
    <n v="0"/>
    <n v="92558"/>
    <n v="93120"/>
    <n v="92545"/>
    <n v="92990"/>
    <n v="681571"/>
    <n v="984.01"/>
    <n v="1"/>
    <n v="0"/>
    <n v="338"/>
    <n v="676"/>
    <n v="0"/>
    <n v="-436"/>
    <n v="-436"/>
    <x v="1"/>
    <x v="1"/>
    <n v="-446"/>
    <n v="19"/>
    <n v="-8474"/>
    <n v="664332"/>
  </r>
  <r>
    <d v="2024-02-20T00:00:00"/>
    <n v="0"/>
    <n v="93098"/>
    <n v="93127"/>
    <n v="92559"/>
    <n v="92746"/>
    <n v="734382"/>
    <n v="954.29"/>
    <n v="0"/>
    <n v="1"/>
    <n v="328"/>
    <n v="656"/>
    <n v="328"/>
    <n v="0"/>
    <n v="328"/>
    <x v="1"/>
    <x v="1"/>
    <n v="318"/>
    <n v="20"/>
    <n v="6360"/>
    <n v="670692"/>
  </r>
  <r>
    <d v="2024-02-21T00:00:00"/>
    <n v="0"/>
    <n v="92699"/>
    <n v="93265"/>
    <n v="92571"/>
    <n v="93153"/>
    <n v="996511"/>
    <n v="935.7"/>
    <n v="1"/>
    <n v="0"/>
    <n v="318"/>
    <n v="636"/>
    <n v="0"/>
    <n v="-458"/>
    <n v="-458"/>
    <x v="1"/>
    <x v="1"/>
    <n v="-468"/>
    <n v="21"/>
    <n v="-9828"/>
    <n v="660864"/>
  </r>
  <r>
    <d v="2024-02-22T00:00:00"/>
    <n v="0"/>
    <n v="93212"/>
    <n v="93617"/>
    <n v="91990"/>
    <n v="93330"/>
    <n v="1640029"/>
    <n v="985.08"/>
    <n v="1"/>
    <n v="1"/>
    <n v="312"/>
    <n v="624"/>
    <n v="74"/>
    <n v="0"/>
    <n v="74"/>
    <x v="1"/>
    <x v="1"/>
    <n v="64"/>
    <n v="21"/>
    <n v="1344"/>
    <n v="662208"/>
  </r>
  <r>
    <d v="2024-02-26T00:00:00"/>
    <n v="0"/>
    <n v="93284"/>
    <n v="93284"/>
    <n v="92180"/>
    <n v="92604"/>
    <n v="798693"/>
    <n v="996.86"/>
    <n v="0"/>
    <n v="1"/>
    <n v="328"/>
    <n v="657"/>
    <n v="328"/>
    <n v="0"/>
    <n v="328"/>
    <x v="1"/>
    <x v="1"/>
    <n v="318"/>
    <n v="20"/>
    <n v="6360"/>
    <n v="668568"/>
  </r>
  <r>
    <d v="2024-02-27T00:00:00"/>
    <n v="0"/>
    <n v="92604"/>
    <n v="92810"/>
    <n v="92238"/>
    <n v="92577"/>
    <n v="557101"/>
    <n v="966.51"/>
    <n v="0"/>
    <n v="0"/>
    <n v="332"/>
    <n v="665"/>
    <n v="0"/>
    <n v="13"/>
    <n v="13"/>
    <x v="1"/>
    <x v="1"/>
    <n v="3"/>
    <n v="20"/>
    <n v="60"/>
    <n v="668628"/>
  </r>
  <r>
    <d v="2024-02-28T00:00:00"/>
    <n v="0"/>
    <n v="92663"/>
    <n v="92697"/>
    <n v="91609"/>
    <n v="91710"/>
    <n v="881571"/>
    <n v="975.19"/>
    <n v="0"/>
    <n v="0"/>
    <n v="322"/>
    <n v="644"/>
    <n v="0"/>
    <n v="644"/>
    <n v="644"/>
    <x v="1"/>
    <x v="1"/>
    <n v="634"/>
    <n v="20"/>
    <n v="12680"/>
    <n v="681308"/>
  </r>
  <r>
    <d v="2024-02-29T00:00:00"/>
    <n v="0"/>
    <n v="91740"/>
    <n v="91899"/>
    <n v="91071"/>
    <n v="91490"/>
    <n v="931363"/>
    <n v="964.68"/>
    <n v="0"/>
    <n v="0"/>
    <n v="325"/>
    <n v="650"/>
    <n v="0"/>
    <n v="207"/>
    <n v="207"/>
    <x v="1"/>
    <x v="1"/>
    <n v="197"/>
    <n v="20"/>
    <n v="3940"/>
    <n v="685248"/>
  </r>
  <r>
    <d v="2024-03-01T00:00:00"/>
    <n v="0"/>
    <n v="91628"/>
    <n v="92368"/>
    <n v="91628"/>
    <n v="92156"/>
    <n v="609735"/>
    <n v="958.49"/>
    <n v="1"/>
    <n v="0"/>
    <n v="322"/>
    <n v="643"/>
    <n v="0"/>
    <n v="-536"/>
    <n v="-536"/>
    <x v="1"/>
    <x v="2"/>
    <n v="-546"/>
    <n v="21"/>
    <n v="-11466"/>
    <n v="673782"/>
  </r>
  <r>
    <d v="2024-03-04T00:00:00"/>
    <n v="0"/>
    <n v="92154"/>
    <n v="92200"/>
    <n v="91485"/>
    <n v="91645"/>
    <n v="579661"/>
    <n v="941.09"/>
    <n v="0"/>
    <n v="1"/>
    <n v="319"/>
    <n v="639"/>
    <n v="319"/>
    <n v="0"/>
    <n v="319"/>
    <x v="1"/>
    <x v="2"/>
    <n v="309"/>
    <n v="21"/>
    <n v="6489"/>
    <n v="680271"/>
  </r>
  <r>
    <d v="2024-03-05T00:00:00"/>
    <n v="0"/>
    <n v="91706"/>
    <n v="91836"/>
    <n v="91051"/>
    <n v="91104"/>
    <n v="617560"/>
    <n v="929.94"/>
    <n v="0"/>
    <n v="0"/>
    <n v="314"/>
    <n v="627"/>
    <n v="0"/>
    <n v="562"/>
    <n v="562"/>
    <x v="1"/>
    <x v="2"/>
    <n v="552"/>
    <n v="21"/>
    <n v="11592"/>
    <n v="691863"/>
  </r>
  <r>
    <d v="2024-03-06T00:00:00"/>
    <n v="0"/>
    <n v="91186"/>
    <n v="91472"/>
    <n v="90692"/>
    <n v="91238"/>
    <n v="753363"/>
    <n v="919.23"/>
    <n v="1"/>
    <n v="0"/>
    <n v="310"/>
    <n v="620"/>
    <n v="0"/>
    <n v="-13"/>
    <n v="-13"/>
    <x v="1"/>
    <x v="2"/>
    <n v="-23"/>
    <n v="22"/>
    <n v="-506"/>
    <n v="691357"/>
  </r>
  <r>
    <d v="2024-03-07T00:00:00"/>
    <n v="0"/>
    <n v="91249"/>
    <n v="91695"/>
    <n v="91110"/>
    <n v="91239"/>
    <n v="701617"/>
    <n v="895.36"/>
    <n v="0"/>
    <n v="1"/>
    <n v="306"/>
    <n v="613"/>
    <n v="-28"/>
    <n v="0"/>
    <n v="-28"/>
    <x v="1"/>
    <x v="2"/>
    <n v="-38"/>
    <n v="22"/>
    <n v="-836"/>
    <n v="690521"/>
  </r>
  <r>
    <d v="2024-03-11T00:00:00"/>
    <n v="0"/>
    <n v="91272"/>
    <n v="91323"/>
    <n v="90779"/>
    <n v="91027"/>
    <n v="583909"/>
    <n v="870.26"/>
    <n v="0"/>
    <n v="0"/>
    <n v="298"/>
    <n v="597"/>
    <n v="0"/>
    <n v="198"/>
    <n v="198"/>
    <x v="1"/>
    <x v="2"/>
    <n v="188"/>
    <n v="23"/>
    <n v="4324"/>
    <n v="694845"/>
  </r>
  <r>
    <d v="2024-03-12T00:00:00"/>
    <n v="0"/>
    <n v="91023"/>
    <n v="92220"/>
    <n v="90961"/>
    <n v="92178"/>
    <n v="816204"/>
    <n v="898.03"/>
    <n v="1"/>
    <n v="0"/>
    <n v="290"/>
    <n v="580"/>
    <n v="0"/>
    <n v="290"/>
    <n v="290"/>
    <x v="1"/>
    <x v="2"/>
    <n v="280"/>
    <n v="23"/>
    <n v="6440"/>
    <n v="701285"/>
  </r>
  <r>
    <d v="2024-03-13T00:00:00"/>
    <n v="0"/>
    <n v="92134"/>
    <n v="92160"/>
    <n v="91542"/>
    <n v="91815"/>
    <n v="704369"/>
    <n v="879.31"/>
    <n v="0"/>
    <n v="1"/>
    <n v="299"/>
    <n v="599"/>
    <n v="299"/>
    <n v="0"/>
    <n v="299"/>
    <x v="1"/>
    <x v="2"/>
    <n v="289"/>
    <n v="23"/>
    <n v="6647"/>
    <n v="707932"/>
  </r>
  <r>
    <d v="2024-03-14T00:00:00"/>
    <n v="0"/>
    <n v="91829"/>
    <n v="92260"/>
    <n v="91763"/>
    <n v="91970"/>
    <n v="707933"/>
    <n v="852.01"/>
    <n v="1"/>
    <n v="0"/>
    <n v="293"/>
    <n v="586"/>
    <n v="0"/>
    <n v="-168"/>
    <n v="-168"/>
    <x v="1"/>
    <x v="2"/>
    <n v="-178"/>
    <n v="24"/>
    <n v="-4272"/>
    <n v="703660"/>
  </r>
  <r>
    <d v="2024-03-15T00:00:00"/>
    <n v="0"/>
    <n v="92042"/>
    <n v="93049"/>
    <n v="91869"/>
    <n v="92860"/>
    <n v="728532"/>
    <n v="875.43"/>
    <n v="1"/>
    <n v="1"/>
    <n v="284"/>
    <n v="568"/>
    <n v="568"/>
    <n v="0"/>
    <n v="568"/>
    <x v="1"/>
    <x v="2"/>
    <n v="558"/>
    <n v="24"/>
    <n v="13392"/>
    <n v="717052"/>
  </r>
  <r>
    <d v="2024-03-18T00:00:00"/>
    <n v="0"/>
    <n v="92933"/>
    <n v="93000"/>
    <n v="91456"/>
    <n v="92037"/>
    <n v="883903"/>
    <n v="923.19"/>
    <n v="0"/>
    <n v="1"/>
    <n v="292"/>
    <n v="584"/>
    <n v="292"/>
    <n v="0"/>
    <n v="292"/>
    <x v="1"/>
    <x v="2"/>
    <n v="282"/>
    <n v="24"/>
    <n v="6768"/>
    <n v="723820"/>
  </r>
  <r>
    <d v="2024-03-19T00:00:00"/>
    <n v="0"/>
    <n v="92042"/>
    <n v="92943"/>
    <n v="91888"/>
    <n v="92702"/>
    <n v="757951"/>
    <n v="932.6"/>
    <n v="1"/>
    <n v="0"/>
    <n v="308"/>
    <n v="615"/>
    <n v="0"/>
    <n v="308"/>
    <n v="308"/>
    <x v="1"/>
    <x v="2"/>
    <n v="298"/>
    <n v="23"/>
    <n v="6854"/>
    <n v="730674"/>
  </r>
  <r>
    <d v="2024-03-20T00:00:00"/>
    <n v="0"/>
    <n v="94848"/>
    <n v="95251"/>
    <n v="94578"/>
    <n v="94900"/>
    <n v="534511"/>
    <n v="1048.06"/>
    <n v="1"/>
    <n v="1"/>
    <n v="311"/>
    <n v="622"/>
    <n v="40"/>
    <n v="0"/>
    <n v="40"/>
    <x v="1"/>
    <x v="2"/>
    <n v="30"/>
    <n v="23"/>
    <n v="690"/>
    <n v="731364"/>
  </r>
  <r>
    <d v="2024-03-21T00:00:00"/>
    <n v="0"/>
    <n v="94817"/>
    <n v="95113"/>
    <n v="93901"/>
    <n v="94597"/>
    <n v="1099740"/>
    <n v="1059.77"/>
    <n v="0"/>
    <n v="1"/>
    <n v="349"/>
    <n v="699"/>
    <n v="-225"/>
    <n v="0"/>
    <n v="-225"/>
    <x v="1"/>
    <x v="2"/>
    <n v="-235"/>
    <n v="20"/>
    <n v="-4700"/>
    <n v="726664"/>
  </r>
  <r>
    <d v="2024-03-22T00:00:00"/>
    <n v="0"/>
    <n v="94707"/>
    <n v="96085"/>
    <n v="94584"/>
    <n v="95705"/>
    <n v="928730"/>
    <n v="1091.29"/>
    <n v="1"/>
    <n v="0"/>
    <n v="353"/>
    <n v="707"/>
    <n v="0"/>
    <n v="353"/>
    <n v="353"/>
    <x v="1"/>
    <x v="2"/>
    <n v="343"/>
    <n v="20"/>
    <n v="6860"/>
    <n v="733524"/>
  </r>
  <r>
    <d v="2024-03-25T00:00:00"/>
    <n v="0"/>
    <n v="95667"/>
    <n v="95670"/>
    <n v="94870"/>
    <n v="95318"/>
    <n v="802391"/>
    <n v="1072.98"/>
    <n v="0"/>
    <n v="1"/>
    <n v="364"/>
    <n v="728"/>
    <n v="-369"/>
    <n v="0"/>
    <n v="-369"/>
    <x v="1"/>
    <x v="2"/>
    <n v="-379"/>
    <n v="20"/>
    <n v="-7580"/>
    <n v="725944"/>
  </r>
  <r>
    <d v="2024-03-26T00:00:00"/>
    <n v="0"/>
    <n v="95313"/>
    <n v="95320"/>
    <n v="94700"/>
    <n v="95129"/>
    <n v="602910"/>
    <n v="1040.6199999999999"/>
    <n v="0"/>
    <n v="0"/>
    <n v="358"/>
    <n v="715"/>
    <n v="0"/>
    <n v="166"/>
    <n v="166"/>
    <x v="1"/>
    <x v="2"/>
    <n v="156"/>
    <n v="20"/>
    <n v="3120"/>
    <n v="729064"/>
  </r>
  <r>
    <d v="2024-03-27T00:00:00"/>
    <n v="0"/>
    <n v="95129"/>
    <n v="95308"/>
    <n v="94218"/>
    <n v="94377"/>
    <n v="927525"/>
    <n v="1044.1500000000001"/>
    <n v="0"/>
    <n v="0"/>
    <n v="347"/>
    <n v="694"/>
    <n v="0"/>
    <n v="694"/>
    <n v="694"/>
    <x v="1"/>
    <x v="2"/>
    <n v="684"/>
    <n v="21"/>
    <n v="14364"/>
    <n v="743428"/>
  </r>
  <r>
    <d v="2024-03-28T00:00:00"/>
    <n v="0"/>
    <n v="94374"/>
    <n v="94899"/>
    <n v="94308"/>
    <n v="94712"/>
    <n v="733428"/>
    <n v="1011.78"/>
    <n v="1"/>
    <n v="0"/>
    <n v="348"/>
    <n v="696"/>
    <n v="0"/>
    <n v="-381"/>
    <n v="-381"/>
    <x v="1"/>
    <x v="2"/>
    <n v="-391"/>
    <n v="21"/>
    <n v="-8211"/>
    <n v="735217"/>
  </r>
  <r>
    <d v="2024-03-29T00:00:00"/>
    <n v="0"/>
    <n v="94826"/>
    <n v="94844"/>
    <n v="94050"/>
    <n v="94513"/>
    <n v="1080809"/>
    <n v="996.23"/>
    <n v="0"/>
    <n v="1"/>
    <n v="337"/>
    <n v="675"/>
    <n v="337"/>
    <n v="0"/>
    <n v="337"/>
    <x v="1"/>
    <x v="2"/>
    <n v="327"/>
    <n v="21"/>
    <n v="6867"/>
    <n v="742084"/>
  </r>
  <r>
    <d v="2024-04-01T00:00:00"/>
    <n v="0"/>
    <n v="94500"/>
    <n v="94838"/>
    <n v="94255"/>
    <n v="94724"/>
    <n v="623515"/>
    <n v="966.71"/>
    <n v="1"/>
    <n v="0"/>
    <n v="332"/>
    <n v="664"/>
    <n v="0"/>
    <n v="-260"/>
    <n v="-260"/>
    <x v="1"/>
    <x v="3"/>
    <n v="-270"/>
    <n v="22"/>
    <n v="-5940"/>
    <n v="736144"/>
  </r>
  <r>
    <d v="2024-04-02T00:00:00"/>
    <n v="0"/>
    <n v="94777"/>
    <n v="95188"/>
    <n v="94565"/>
    <n v="94797"/>
    <n v="660272"/>
    <n v="942.16"/>
    <n v="1"/>
    <n v="1"/>
    <n v="322"/>
    <n v="644"/>
    <n v="11"/>
    <n v="0"/>
    <n v="11"/>
    <x v="1"/>
    <x v="3"/>
    <n v="1"/>
    <n v="22"/>
    <n v="22"/>
    <n v="736166"/>
  </r>
  <r>
    <d v="2024-04-03T00:00:00"/>
    <n v="0"/>
    <n v="94790"/>
    <n v="94990"/>
    <n v="94207"/>
    <n v="94631"/>
    <n v="695276"/>
    <n v="930.79"/>
    <n v="0"/>
    <n v="1"/>
    <n v="314"/>
    <n v="628"/>
    <n v="-126"/>
    <n v="0"/>
    <n v="-126"/>
    <x v="1"/>
    <x v="3"/>
    <n v="-136"/>
    <n v="23"/>
    <n v="-3128"/>
    <n v="733038"/>
  </r>
  <r>
    <d v="2024-04-04T00:00:00"/>
    <n v="0"/>
    <n v="94631"/>
    <n v="94737"/>
    <n v="94320"/>
    <n v="94445"/>
    <n v="515033"/>
    <n v="894.09"/>
    <n v="0"/>
    <n v="0"/>
    <n v="310"/>
    <n v="621"/>
    <n v="0"/>
    <n v="131"/>
    <n v="131"/>
    <x v="1"/>
    <x v="3"/>
    <n v="121"/>
    <n v="23"/>
    <n v="2783"/>
    <n v="735821"/>
  </r>
  <r>
    <d v="2024-04-05T00:00:00"/>
    <n v="0"/>
    <n v="94476"/>
    <n v="94991"/>
    <n v="94475"/>
    <n v="94669"/>
    <n v="596669"/>
    <n v="869.23"/>
    <n v="1"/>
    <n v="0"/>
    <n v="298"/>
    <n v="596"/>
    <n v="0"/>
    <n v="-196"/>
    <n v="-196"/>
    <x v="1"/>
    <x v="3"/>
    <n v="-206"/>
    <n v="24"/>
    <n v="-4944"/>
    <n v="730877"/>
  </r>
  <r>
    <d v="2024-04-08T00:00:00"/>
    <n v="0"/>
    <n v="94676"/>
    <n v="94923"/>
    <n v="94552"/>
    <n v="94814"/>
    <n v="482746"/>
    <n v="833.64"/>
    <n v="1"/>
    <n v="1"/>
    <n v="290"/>
    <n v="579"/>
    <n v="110"/>
    <n v="0"/>
    <n v="110"/>
    <x v="1"/>
    <x v="3"/>
    <n v="100"/>
    <n v="25"/>
    <n v="2500"/>
    <n v="733377"/>
  </r>
  <r>
    <d v="2024-04-09T00:00:00"/>
    <n v="0"/>
    <n v="94815"/>
    <n v="95235"/>
    <n v="94767"/>
    <n v="95125"/>
    <n v="466137"/>
    <n v="807.52"/>
    <n v="1"/>
    <n v="1"/>
    <n v="278"/>
    <n v="556"/>
    <n v="355"/>
    <n v="0"/>
    <n v="355"/>
    <x v="1"/>
    <x v="3"/>
    <n v="345"/>
    <n v="26"/>
    <n v="8970"/>
    <n v="742347"/>
  </r>
  <r>
    <d v="2024-04-10T00:00:00"/>
    <n v="0"/>
    <n v="95142"/>
    <n v="95858"/>
    <n v="95077"/>
    <n v="95680"/>
    <n v="680215"/>
    <n v="805.63"/>
    <n v="1"/>
    <n v="1"/>
    <n v="269"/>
    <n v="538"/>
    <n v="538"/>
    <n v="0"/>
    <n v="538"/>
    <x v="1"/>
    <x v="3"/>
    <n v="528"/>
    <n v="27"/>
    <n v="14256"/>
    <n v="756603"/>
  </r>
  <r>
    <d v="2024-04-11T00:00:00"/>
    <n v="0"/>
    <n v="95671"/>
    <n v="96131"/>
    <n v="95057"/>
    <n v="95287"/>
    <n v="766175"/>
    <n v="824.8"/>
    <n v="0"/>
    <n v="1"/>
    <n v="269"/>
    <n v="537"/>
    <n v="269"/>
    <n v="0"/>
    <n v="269"/>
    <x v="1"/>
    <x v="3"/>
    <n v="259"/>
    <n v="28"/>
    <n v="7252"/>
    <n v="763855"/>
  </r>
  <r>
    <d v="2024-04-12T00:00:00"/>
    <n v="0"/>
    <n v="95356"/>
    <n v="95600"/>
    <n v="95000"/>
    <n v="95140"/>
    <n v="604041"/>
    <n v="808.74"/>
    <n v="0"/>
    <n v="0"/>
    <n v="275"/>
    <n v="550"/>
    <n v="0"/>
    <n v="241"/>
    <n v="241"/>
    <x v="1"/>
    <x v="3"/>
    <n v="231"/>
    <n v="27"/>
    <n v="6237"/>
    <n v="770092"/>
  </r>
  <r>
    <d v="2024-04-15T00:00:00"/>
    <n v="0"/>
    <n v="95123"/>
    <n v="95499"/>
    <n v="95001"/>
    <n v="95396"/>
    <n v="423914"/>
    <n v="786.55"/>
    <n v="1"/>
    <n v="0"/>
    <n v="270"/>
    <n v="539"/>
    <n v="0"/>
    <n v="-326"/>
    <n v="-326"/>
    <x v="1"/>
    <x v="3"/>
    <n v="-336"/>
    <n v="28"/>
    <n v="-9408"/>
    <n v="760684"/>
  </r>
  <r>
    <d v="2024-04-16T00:00:00"/>
    <n v="0"/>
    <n v="95543"/>
    <n v="96300"/>
    <n v="95465"/>
    <n v="96155"/>
    <n v="782172"/>
    <n v="794.94"/>
    <n v="1"/>
    <n v="1"/>
    <n v="262"/>
    <n v="524"/>
    <n v="524"/>
    <n v="0"/>
    <n v="524"/>
    <x v="1"/>
    <x v="3"/>
    <n v="514"/>
    <n v="29"/>
    <n v="14906"/>
    <n v="775590"/>
  </r>
  <r>
    <d v="2024-04-17T00:00:00"/>
    <n v="0"/>
    <n v="96180"/>
    <n v="96279"/>
    <n v="95682"/>
    <n v="95855"/>
    <n v="573839"/>
    <n v="780.8"/>
    <n v="0"/>
    <n v="1"/>
    <n v="265"/>
    <n v="530"/>
    <n v="265"/>
    <n v="0"/>
    <n v="265"/>
    <x v="1"/>
    <x v="3"/>
    <n v="255"/>
    <n v="29"/>
    <n v="7395"/>
    <n v="782985"/>
  </r>
  <r>
    <d v="2024-04-18T00:00:00"/>
    <n v="0"/>
    <n v="95864"/>
    <n v="96050"/>
    <n v="95059"/>
    <n v="95144"/>
    <n v="781680"/>
    <n v="795.81"/>
    <n v="0"/>
    <n v="0"/>
    <n v="260"/>
    <n v="521"/>
    <n v="0"/>
    <n v="521"/>
    <n v="521"/>
    <x v="1"/>
    <x v="3"/>
    <n v="511"/>
    <n v="30"/>
    <n v="15330"/>
    <n v="798315"/>
  </r>
  <r>
    <d v="2024-04-19T00:00:00"/>
    <n v="0"/>
    <n v="95141"/>
    <n v="95326"/>
    <n v="94405"/>
    <n v="94610"/>
    <n v="709720"/>
    <n v="804.75"/>
    <n v="0"/>
    <n v="0"/>
    <n v="265"/>
    <n v="531"/>
    <n v="0"/>
    <n v="531"/>
    <n v="531"/>
    <x v="1"/>
    <x v="3"/>
    <n v="521"/>
    <n v="30"/>
    <n v="15630"/>
    <n v="813945"/>
  </r>
  <r>
    <d v="2024-04-22T00:00:00"/>
    <n v="0"/>
    <n v="94675"/>
    <n v="94877"/>
    <n v="94310"/>
    <n v="94631"/>
    <n v="464453"/>
    <n v="787.77"/>
    <n v="0"/>
    <n v="0"/>
    <n v="268"/>
    <n v="536"/>
    <n v="0"/>
    <n v="32"/>
    <n v="32"/>
    <x v="1"/>
    <x v="3"/>
    <n v="22"/>
    <n v="30"/>
    <n v="660"/>
    <n v="814605"/>
  </r>
  <r>
    <d v="2024-04-23T00:00:00"/>
    <n v="0"/>
    <n v="94666"/>
    <n v="94691"/>
    <n v="94156"/>
    <n v="94265"/>
    <n v="475964"/>
    <n v="769.72"/>
    <n v="0"/>
    <n v="0"/>
    <n v="263"/>
    <n v="525"/>
    <n v="0"/>
    <n v="380"/>
    <n v="380"/>
    <x v="1"/>
    <x v="3"/>
    <n v="370"/>
    <n v="30"/>
    <n v="11100"/>
    <n v="825705"/>
  </r>
  <r>
    <d v="2024-04-24T00:00:00"/>
    <n v="0"/>
    <n v="94263"/>
    <n v="94266"/>
    <n v="93665"/>
    <n v="93726"/>
    <n v="631913"/>
    <n v="757.66"/>
    <n v="0"/>
    <n v="0"/>
    <n v="257"/>
    <n v="513"/>
    <n v="0"/>
    <n v="513"/>
    <n v="513"/>
    <x v="1"/>
    <x v="3"/>
    <n v="503"/>
    <n v="32"/>
    <n v="16096"/>
    <n v="841801"/>
  </r>
  <r>
    <d v="2024-04-25T00:00:00"/>
    <n v="0"/>
    <n v="93745"/>
    <n v="94045"/>
    <n v="93560"/>
    <n v="93660"/>
    <n v="629061"/>
    <n v="738.19"/>
    <n v="0"/>
    <n v="0"/>
    <n v="253"/>
    <n v="505"/>
    <n v="0"/>
    <n v="15"/>
    <n v="15"/>
    <x v="1"/>
    <x v="3"/>
    <n v="5"/>
    <n v="33"/>
    <n v="165"/>
    <n v="841966"/>
  </r>
  <r>
    <d v="2024-04-26T00:00:00"/>
    <n v="0"/>
    <n v="93727"/>
    <n v="93980"/>
    <n v="92767"/>
    <n v="93190"/>
    <n v="889240"/>
    <n v="772.1"/>
    <n v="0"/>
    <n v="0"/>
    <n v="246"/>
    <n v="492"/>
    <n v="0"/>
    <n v="492"/>
    <n v="492"/>
    <x v="1"/>
    <x v="3"/>
    <n v="482"/>
    <n v="34"/>
    <n v="16388"/>
    <n v="858354"/>
  </r>
  <r>
    <d v="2024-04-27T00:00:00"/>
    <n v="0"/>
    <n v="93180"/>
    <n v="93987"/>
    <n v="93076"/>
    <n v="93876"/>
    <n v="370255"/>
    <n v="782.03"/>
    <n v="1"/>
    <n v="0"/>
    <n v="257"/>
    <n v="515"/>
    <n v="0"/>
    <n v="257"/>
    <n v="257"/>
    <x v="1"/>
    <x v="3"/>
    <n v="247"/>
    <n v="33"/>
    <n v="8151"/>
    <n v="866505"/>
  </r>
  <r>
    <d v="2024-04-29T00:00:00"/>
    <n v="0"/>
    <n v="93960"/>
    <n v="94720"/>
    <n v="93869"/>
    <n v="94130"/>
    <n v="392531"/>
    <n v="786.95"/>
    <n v="1"/>
    <n v="1"/>
    <n v="261"/>
    <n v="521"/>
    <n v="314"/>
    <n v="0"/>
    <n v="314"/>
    <x v="1"/>
    <x v="3"/>
    <n v="304"/>
    <n v="33"/>
    <n v="10032"/>
    <n v="876537"/>
  </r>
  <r>
    <d v="2024-04-30T00:00:00"/>
    <n v="0"/>
    <n v="94303"/>
    <n v="94648"/>
    <n v="94011"/>
    <n v="94198"/>
    <n v="333029"/>
    <n v="776.24"/>
    <n v="0"/>
    <n v="1"/>
    <n v="262"/>
    <n v="525"/>
    <n v="-118"/>
    <n v="0"/>
    <n v="-118"/>
    <x v="1"/>
    <x v="3"/>
    <n v="-128"/>
    <n v="33"/>
    <n v="-4224"/>
    <n v="872313"/>
  </r>
  <r>
    <d v="2024-05-02T00:00:00"/>
    <n v="0"/>
    <n v="94167"/>
    <n v="94167"/>
    <n v="93121"/>
    <n v="93450"/>
    <n v="752635"/>
    <n v="797.72"/>
    <n v="0"/>
    <n v="0"/>
    <n v="259"/>
    <n v="517"/>
    <n v="0"/>
    <n v="517"/>
    <n v="517"/>
    <x v="1"/>
    <x v="4"/>
    <n v="507"/>
    <n v="33"/>
    <n v="16731"/>
    <n v="889044"/>
  </r>
  <r>
    <d v="2024-05-03T00:00:00"/>
    <n v="0"/>
    <n v="93451"/>
    <n v="93480"/>
    <n v="93047"/>
    <n v="93193"/>
    <n v="617359"/>
    <n v="771.67"/>
    <n v="0"/>
    <n v="0"/>
    <n v="266"/>
    <n v="532"/>
    <n v="0"/>
    <n v="273"/>
    <n v="273"/>
    <x v="1"/>
    <x v="4"/>
    <n v="263"/>
    <n v="33"/>
    <n v="8679"/>
    <n v="897723"/>
  </r>
  <r>
    <d v="2024-05-06T00:00:00"/>
    <n v="0"/>
    <n v="93263"/>
    <n v="93465"/>
    <n v="92345"/>
    <n v="92846"/>
    <n v="677472"/>
    <n v="796.55"/>
    <n v="0"/>
    <n v="0"/>
    <n v="257"/>
    <n v="514"/>
    <n v="0"/>
    <n v="436"/>
    <n v="436"/>
    <x v="1"/>
    <x v="4"/>
    <n v="426"/>
    <n v="34"/>
    <n v="14484"/>
    <n v="912207"/>
  </r>
  <r>
    <d v="2024-05-07T00:00:00"/>
    <n v="0"/>
    <n v="92848"/>
    <n v="92990"/>
    <n v="92400"/>
    <n v="92799"/>
    <n v="532861"/>
    <n v="781.8"/>
    <n v="0"/>
    <n v="0"/>
    <n v="266"/>
    <n v="531"/>
    <n v="0"/>
    <n v="79"/>
    <n v="79"/>
    <x v="1"/>
    <x v="4"/>
    <n v="69"/>
    <n v="34"/>
    <n v="2346"/>
    <n v="914553"/>
  </r>
  <r>
    <d v="2024-05-08T00:00:00"/>
    <n v="0"/>
    <n v="92902"/>
    <n v="93475"/>
    <n v="92685"/>
    <n v="93199"/>
    <n v="778232"/>
    <n v="782.38"/>
    <n v="1"/>
    <n v="0"/>
    <n v="261"/>
    <n v="521"/>
    <n v="0"/>
    <n v="-271"/>
    <n v="-271"/>
    <x v="1"/>
    <x v="4"/>
    <n v="-281"/>
    <n v="35"/>
    <n v="-9835"/>
    <n v="904718"/>
  </r>
  <r>
    <d v="2024-05-10T00:00:00"/>
    <n v="0"/>
    <n v="93227"/>
    <n v="93719"/>
    <n v="93000"/>
    <n v="93350"/>
    <n v="328460"/>
    <n v="777.86"/>
    <n v="1"/>
    <n v="1"/>
    <n v="261"/>
    <n v="522"/>
    <n v="168"/>
    <n v="0"/>
    <n v="168"/>
    <x v="1"/>
    <x v="4"/>
    <n v="158"/>
    <n v="34"/>
    <n v="5372"/>
    <n v="910090"/>
  </r>
  <r>
    <d v="2024-05-13T00:00:00"/>
    <n v="0"/>
    <n v="93373"/>
    <n v="93504"/>
    <n v="92438"/>
    <n v="92501"/>
    <n v="676614"/>
    <n v="798.44"/>
    <n v="0"/>
    <n v="1"/>
    <n v="259"/>
    <n v="519"/>
    <n v="259"/>
    <n v="0"/>
    <n v="259"/>
    <x v="1"/>
    <x v="4"/>
    <n v="249"/>
    <n v="35"/>
    <n v="8715"/>
    <n v="918805"/>
  </r>
  <r>
    <d v="2024-05-14T00:00:00"/>
    <n v="0"/>
    <n v="92526"/>
    <n v="92870"/>
    <n v="92325"/>
    <n v="92573"/>
    <n v="523926"/>
    <n v="780.34"/>
    <n v="1"/>
    <n v="0"/>
    <n v="266"/>
    <n v="532"/>
    <n v="0"/>
    <n v="-25"/>
    <n v="-25"/>
    <x v="1"/>
    <x v="4"/>
    <n v="-35"/>
    <n v="34"/>
    <n v="-1190"/>
    <n v="917615"/>
  </r>
  <r>
    <d v="2024-05-15T00:00:00"/>
    <n v="0"/>
    <n v="92550"/>
    <n v="92600"/>
    <n v="91886"/>
    <n v="92020"/>
    <n v="660256"/>
    <n v="775.6"/>
    <n v="0"/>
    <n v="1"/>
    <n v="260"/>
    <n v="520"/>
    <n v="260"/>
    <n v="0"/>
    <n v="260"/>
    <x v="1"/>
    <x v="4"/>
    <n v="250"/>
    <n v="35"/>
    <n v="8750"/>
    <n v="926365"/>
  </r>
  <r>
    <d v="2024-05-16T00:00:00"/>
    <n v="0"/>
    <n v="92040"/>
    <n v="92202"/>
    <n v="91702"/>
    <n v="91875"/>
    <n v="499581"/>
    <n v="755.91"/>
    <n v="0"/>
    <n v="0"/>
    <n v="259"/>
    <n v="517"/>
    <n v="0"/>
    <n v="114"/>
    <n v="114"/>
    <x v="1"/>
    <x v="4"/>
    <n v="104"/>
    <n v="35"/>
    <n v="3640"/>
    <n v="930005"/>
  </r>
  <r>
    <d v="2024-05-17T00:00:00"/>
    <n v="0"/>
    <n v="91931"/>
    <n v="92078"/>
    <n v="91668"/>
    <n v="91728"/>
    <n v="488475"/>
    <n v="731.2"/>
    <n v="0"/>
    <n v="0"/>
    <n v="252"/>
    <n v="504"/>
    <n v="0"/>
    <n v="229"/>
    <n v="229"/>
    <x v="1"/>
    <x v="4"/>
    <n v="219"/>
    <n v="36"/>
    <n v="7884"/>
    <n v="937889"/>
  </r>
  <r>
    <d v="2024-05-20T00:00:00"/>
    <n v="0"/>
    <n v="91770"/>
    <n v="91920"/>
    <n v="91122"/>
    <n v="91615"/>
    <n v="589960"/>
    <n v="735.98"/>
    <n v="0"/>
    <n v="0"/>
    <n v="244"/>
    <n v="487"/>
    <n v="0"/>
    <n v="112"/>
    <n v="112"/>
    <x v="1"/>
    <x v="4"/>
    <n v="102"/>
    <n v="38"/>
    <n v="3876"/>
    <n v="941765"/>
  </r>
  <r>
    <d v="2024-05-21T00:00:00"/>
    <n v="0"/>
    <n v="91593"/>
    <n v="91593"/>
    <n v="90714"/>
    <n v="90867"/>
    <n v="552418"/>
    <n v="747.76"/>
    <n v="0"/>
    <n v="0"/>
    <n v="245"/>
    <n v="491"/>
    <n v="0"/>
    <n v="491"/>
    <n v="491"/>
    <x v="1"/>
    <x v="4"/>
    <n v="481"/>
    <n v="38"/>
    <n v="18278"/>
    <n v="960043"/>
  </r>
  <r>
    <d v="2024-05-22T00:00:00"/>
    <n v="0"/>
    <n v="90829"/>
    <n v="91209"/>
    <n v="90487"/>
    <n v="91137"/>
    <n v="537277"/>
    <n v="745.92"/>
    <n v="1"/>
    <n v="0"/>
    <n v="249"/>
    <n v="499"/>
    <n v="0"/>
    <n v="-286"/>
    <n v="-286"/>
    <x v="1"/>
    <x v="4"/>
    <n v="-296"/>
    <n v="38"/>
    <n v="-11248"/>
    <n v="948795"/>
  </r>
  <r>
    <d v="2024-05-23T00:00:00"/>
    <n v="0"/>
    <n v="91146"/>
    <n v="91234"/>
    <n v="90601"/>
    <n v="90649"/>
    <n v="439171"/>
    <n v="737.86"/>
    <n v="0"/>
    <n v="1"/>
    <n v="249"/>
    <n v="497"/>
    <n v="249"/>
    <n v="0"/>
    <n v="249"/>
    <x v="1"/>
    <x v="4"/>
    <n v="239"/>
    <n v="38"/>
    <n v="9082"/>
    <n v="957877"/>
  </r>
  <r>
    <d v="2024-05-24T00:00:00"/>
    <n v="0"/>
    <n v="90682"/>
    <n v="90684"/>
    <n v="90040"/>
    <n v="90334"/>
    <n v="554450"/>
    <n v="731.15"/>
    <n v="0"/>
    <n v="0"/>
    <n v="246"/>
    <n v="492"/>
    <n v="0"/>
    <n v="417"/>
    <n v="417"/>
    <x v="1"/>
    <x v="4"/>
    <n v="407"/>
    <n v="38"/>
    <n v="15466"/>
    <n v="973343"/>
  </r>
  <r>
    <d v="2024-05-27T00:00:00"/>
    <n v="0"/>
    <n v="90275"/>
    <n v="90334"/>
    <n v="89064"/>
    <n v="89172"/>
    <n v="632541"/>
    <n v="769.64"/>
    <n v="0"/>
    <n v="0"/>
    <n v="244"/>
    <n v="487"/>
    <n v="0"/>
    <n v="487"/>
    <n v="487"/>
    <x v="1"/>
    <x v="4"/>
    <n v="477"/>
    <n v="39"/>
    <n v="18603"/>
    <n v="991946"/>
  </r>
  <r>
    <d v="2024-05-28T00:00:00"/>
    <n v="0"/>
    <n v="89223"/>
    <n v="89713"/>
    <n v="89010"/>
    <n v="89521"/>
    <n v="616497"/>
    <n v="764.88"/>
    <n v="1"/>
    <n v="0"/>
    <n v="257"/>
    <n v="513"/>
    <n v="0"/>
    <n v="-215"/>
    <n v="-215"/>
    <x v="1"/>
    <x v="4"/>
    <n v="-225"/>
    <n v="38"/>
    <n v="-8550"/>
    <n v="983396"/>
  </r>
  <r>
    <d v="2024-05-29T00:00:00"/>
    <n v="0"/>
    <n v="89560"/>
    <n v="90792"/>
    <n v="89539"/>
    <n v="90450"/>
    <n v="826777"/>
    <n v="801.03"/>
    <n v="1"/>
    <n v="1"/>
    <n v="255"/>
    <n v="510"/>
    <n v="510"/>
    <n v="0"/>
    <n v="510"/>
    <x v="1"/>
    <x v="4"/>
    <n v="500"/>
    <n v="38"/>
    <n v="19000"/>
    <n v="1002396"/>
  </r>
  <r>
    <d v="2024-05-30T00:00:00"/>
    <n v="0"/>
    <n v="90600"/>
    <n v="90845"/>
    <n v="90341"/>
    <n v="90705"/>
    <n v="638716"/>
    <n v="779.82"/>
    <n v="1"/>
    <n v="1"/>
    <n v="267"/>
    <n v="534"/>
    <n v="164"/>
    <n v="0"/>
    <n v="164"/>
    <x v="1"/>
    <x v="4"/>
    <n v="154"/>
    <n v="37"/>
    <n v="5698"/>
    <n v="1008094"/>
  </r>
  <r>
    <d v="2024-05-31T00:00:00"/>
    <n v="0"/>
    <n v="90906"/>
    <n v="91062"/>
    <n v="90202"/>
    <n v="90220"/>
    <n v="579926"/>
    <n v="785.54"/>
    <n v="0"/>
    <n v="1"/>
    <n v="260"/>
    <n v="520"/>
    <n v="260"/>
    <n v="0"/>
    <n v="260"/>
    <x v="1"/>
    <x v="4"/>
    <n v="250"/>
    <n v="38"/>
    <n v="9500"/>
    <n v="1017594"/>
  </r>
  <r>
    <d v="2024-06-03T00:00:00"/>
    <n v="0"/>
    <n v="90404"/>
    <n v="90680"/>
    <n v="89280"/>
    <n v="89607"/>
    <n v="823677"/>
    <n v="829.43"/>
    <n v="0"/>
    <n v="0"/>
    <n v="262"/>
    <n v="524"/>
    <n v="0"/>
    <n v="524"/>
    <n v="524"/>
    <x v="1"/>
    <x v="5"/>
    <n v="514"/>
    <n v="38"/>
    <n v="19532"/>
    <n v="1037126"/>
  </r>
  <r>
    <d v="2024-06-04T00:00:00"/>
    <n v="0"/>
    <n v="89727"/>
    <n v="89848"/>
    <n v="88940"/>
    <n v="89288"/>
    <n v="653250"/>
    <n v="835.05"/>
    <n v="0"/>
    <n v="0"/>
    <n v="276"/>
    <n v="553"/>
    <n v="0"/>
    <n v="509"/>
    <n v="509"/>
    <x v="1"/>
    <x v="5"/>
    <n v="499"/>
    <n v="37"/>
    <n v="18463"/>
    <n v="1055589"/>
  </r>
  <r>
    <d v="2024-06-05T00:00:00"/>
    <n v="0"/>
    <n v="89292"/>
    <n v="89512"/>
    <n v="88868"/>
    <n v="89096"/>
    <n v="574574"/>
    <n v="821.4"/>
    <n v="0"/>
    <n v="0"/>
    <n v="278"/>
    <n v="557"/>
    <n v="0"/>
    <n v="177"/>
    <n v="177"/>
    <x v="1"/>
    <x v="5"/>
    <n v="167"/>
    <n v="37"/>
    <n v="6179"/>
    <n v="1061768"/>
  </r>
  <r>
    <d v="2024-06-06T00:00:00"/>
    <n v="0"/>
    <n v="89119"/>
    <n v="89593"/>
    <n v="88811"/>
    <n v="89001"/>
    <n v="777985"/>
    <n v="818.59"/>
    <n v="0"/>
    <n v="0"/>
    <n v="274"/>
    <n v="548"/>
    <n v="0"/>
    <n v="256"/>
    <n v="256"/>
    <x v="1"/>
    <x v="5"/>
    <n v="246"/>
    <n v="38"/>
    <n v="9348"/>
    <n v="1071116"/>
  </r>
  <r>
    <d v="2024-06-07T00:00:00"/>
    <n v="0"/>
    <n v="89078"/>
    <n v="89948"/>
    <n v="88784"/>
    <n v="89405"/>
    <n v="918985"/>
    <n v="843.26"/>
    <n v="1"/>
    <n v="0"/>
    <n v="273"/>
    <n v="546"/>
    <n v="0"/>
    <n v="-343"/>
    <n v="-343"/>
    <x v="1"/>
    <x v="5"/>
    <n v="-353"/>
    <n v="39"/>
    <n v="-13767"/>
    <n v="1057349"/>
  </r>
  <r>
    <d v="2024-06-10T00:00:00"/>
    <n v="0"/>
    <n v="89590"/>
    <n v="89719"/>
    <n v="88546"/>
    <n v="88800"/>
    <n v="581774"/>
    <n v="866.81"/>
    <n v="0"/>
    <n v="1"/>
    <n v="281"/>
    <n v="562"/>
    <n v="281"/>
    <n v="0"/>
    <n v="281"/>
    <x v="1"/>
    <x v="5"/>
    <n v="271"/>
    <n v="37"/>
    <n v="10027"/>
    <n v="1067376"/>
  </r>
  <r>
    <d v="2024-06-11T00:00:00"/>
    <n v="0"/>
    <n v="88833"/>
    <n v="89553"/>
    <n v="88738"/>
    <n v="89371"/>
    <n v="635337"/>
    <n v="863.11"/>
    <n v="1"/>
    <n v="0"/>
    <n v="289"/>
    <n v="578"/>
    <n v="0"/>
    <n v="289"/>
    <n v="289"/>
    <x v="1"/>
    <x v="5"/>
    <n v="279"/>
    <n v="36"/>
    <n v="10044"/>
    <n v="1077420"/>
  </r>
  <r>
    <d v="2024-06-13T00:00:00"/>
    <n v="0"/>
    <n v="88999"/>
    <n v="89250"/>
    <n v="85888"/>
    <n v="88848"/>
    <n v="1398426"/>
    <n v="1050.24"/>
    <n v="0"/>
    <n v="1"/>
    <n v="288"/>
    <n v="575"/>
    <n v="-141"/>
    <n v="0"/>
    <n v="-141"/>
    <x v="1"/>
    <x v="5"/>
    <n v="-151"/>
    <n v="37"/>
    <n v="-5587"/>
    <n v="1071833"/>
  </r>
  <r>
    <d v="2024-06-14T00:00:00"/>
    <n v="0"/>
    <n v="88848"/>
    <n v="89433"/>
    <n v="88639"/>
    <n v="89140"/>
    <n v="637033"/>
    <n v="1031.94"/>
    <n v="1"/>
    <n v="0"/>
    <n v="350"/>
    <n v="700"/>
    <n v="0"/>
    <n v="-261"/>
    <n v="-261"/>
    <x v="1"/>
    <x v="5"/>
    <n v="-271"/>
    <n v="30"/>
    <n v="-8130"/>
    <n v="1063703"/>
  </r>
  <r>
    <d v="2024-06-17T00:00:00"/>
    <n v="0"/>
    <n v="89156"/>
    <n v="89324"/>
    <n v="87165"/>
    <n v="87410"/>
    <n v="714981"/>
    <n v="1112.45"/>
    <n v="0"/>
    <n v="1"/>
    <n v="344"/>
    <n v="688"/>
    <n v="344"/>
    <n v="0"/>
    <n v="344"/>
    <x v="1"/>
    <x v="5"/>
    <n v="334"/>
    <n v="30"/>
    <n v="10020"/>
    <n v="1073723"/>
  </r>
  <r>
    <d v="2024-06-18T00:00:00"/>
    <n v="0"/>
    <n v="87407"/>
    <n v="87750"/>
    <n v="85011"/>
    <n v="85251"/>
    <n v="925707"/>
    <n v="1228.6300000000001"/>
    <n v="0"/>
    <n v="0"/>
    <n v="371"/>
    <n v="742"/>
    <n v="0"/>
    <n v="742"/>
    <n v="742"/>
    <x v="1"/>
    <x v="5"/>
    <n v="732"/>
    <n v="28"/>
    <n v="20496"/>
    <n v="1094219"/>
  </r>
  <r>
    <d v="2024-06-19T00:00:00"/>
    <n v="0"/>
    <n v="85530"/>
    <n v="85600"/>
    <n v="81910"/>
    <n v="82116"/>
    <n v="877621"/>
    <n v="1404.44"/>
    <n v="0"/>
    <n v="0"/>
    <n v="410"/>
    <n v="819"/>
    <n v="0"/>
    <n v="819"/>
    <n v="819"/>
    <x v="1"/>
    <x v="5"/>
    <n v="809"/>
    <n v="26"/>
    <n v="21034"/>
    <n v="1115253"/>
  </r>
  <r>
    <d v="2024-06-20T00:00:00"/>
    <n v="0"/>
    <n v="82100"/>
    <n v="87888"/>
    <n v="81536"/>
    <n v="87617"/>
    <n v="1320477"/>
    <n v="1757.84"/>
    <n v="1"/>
    <n v="0"/>
    <n v="468"/>
    <n v="936"/>
    <n v="0"/>
    <n v="468"/>
    <n v="468"/>
    <x v="1"/>
    <x v="5"/>
    <n v="458"/>
    <n v="23"/>
    <n v="10534"/>
    <n v="1125787"/>
  </r>
  <r>
    <d v="2024-06-21T00:00:00"/>
    <n v="0"/>
    <n v="87604"/>
    <n v="88990"/>
    <n v="85650"/>
    <n v="86984"/>
    <n v="1175816"/>
    <n v="1870.85"/>
    <n v="0"/>
    <n v="1"/>
    <n v="586"/>
    <n v="1172"/>
    <n v="586"/>
    <n v="0"/>
    <n v="586"/>
    <x v="1"/>
    <x v="5"/>
    <n v="576"/>
    <n v="19"/>
    <n v="10944"/>
    <n v="1136731"/>
  </r>
  <r>
    <d v="2024-06-24T00:00:00"/>
    <n v="0"/>
    <n v="86900"/>
    <n v="87650"/>
    <n v="85280"/>
    <n v="85400"/>
    <n v="742800"/>
    <n v="1906.5"/>
    <n v="0"/>
    <n v="0"/>
    <n v="624"/>
    <n v="1247"/>
    <n v="0"/>
    <n v="1247"/>
    <n v="1247"/>
    <x v="1"/>
    <x v="5"/>
    <n v="1237"/>
    <n v="18"/>
    <n v="22266"/>
    <n v="1158997"/>
  </r>
  <r>
    <d v="2024-06-25T00:00:00"/>
    <n v="0"/>
    <n v="85427"/>
    <n v="87070"/>
    <n v="85101"/>
    <n v="86862"/>
    <n v="612905"/>
    <n v="1910.97"/>
    <n v="1"/>
    <n v="0"/>
    <n v="636"/>
    <n v="1271"/>
    <n v="0"/>
    <n v="636"/>
    <n v="636"/>
    <x v="1"/>
    <x v="5"/>
    <n v="626"/>
    <n v="18"/>
    <n v="11268"/>
    <n v="1170265"/>
  </r>
  <r>
    <d v="2024-06-26T00:00:00"/>
    <n v="0"/>
    <n v="86961"/>
    <n v="87416"/>
    <n v="85503"/>
    <n v="85715"/>
    <n v="609336"/>
    <n v="1911.11"/>
    <n v="0"/>
    <n v="1"/>
    <n v="637"/>
    <n v="1274"/>
    <n v="637"/>
    <n v="0"/>
    <n v="637"/>
    <x v="1"/>
    <x v="5"/>
    <n v="627"/>
    <n v="18"/>
    <n v="11286"/>
    <n v="1181551"/>
  </r>
  <r>
    <d v="2024-06-27T00:00:00"/>
    <n v="0"/>
    <n v="85697"/>
    <n v="86322"/>
    <n v="84141"/>
    <n v="85641"/>
    <n v="817871"/>
    <n v="1930.39"/>
    <n v="0"/>
    <n v="0"/>
    <n v="637"/>
    <n v="1274"/>
    <n v="0"/>
    <n v="153"/>
    <n v="153"/>
    <x v="1"/>
    <x v="5"/>
    <n v="143"/>
    <n v="18"/>
    <n v="2574"/>
    <n v="1184125"/>
  </r>
  <r>
    <d v="2024-06-28T00:00:00"/>
    <n v="0"/>
    <n v="85640"/>
    <n v="87295"/>
    <n v="85214"/>
    <n v="87130"/>
    <n v="789270"/>
    <n v="1941.15"/>
    <n v="1"/>
    <n v="0"/>
    <n v="643"/>
    <n v="1287"/>
    <n v="0"/>
    <n v="643"/>
    <n v="643"/>
    <x v="1"/>
    <x v="5"/>
    <n v="633"/>
    <n v="18"/>
    <n v="11394"/>
    <n v="1195519"/>
  </r>
  <r>
    <d v="2024-07-01T00:00:00"/>
    <n v="0"/>
    <n v="87201"/>
    <n v="87800"/>
    <n v="86911"/>
    <n v="87702"/>
    <n v="564416"/>
    <n v="1865.99"/>
    <n v="1"/>
    <n v="1"/>
    <n v="647"/>
    <n v="1294"/>
    <n v="471"/>
    <n v="0"/>
    <n v="471"/>
    <x v="1"/>
    <x v="6"/>
    <n v="461"/>
    <n v="18"/>
    <n v="8298"/>
    <n v="1203817"/>
  </r>
  <r>
    <d v="2024-07-02T00:00:00"/>
    <n v="0"/>
    <n v="87749"/>
    <n v="88579"/>
    <n v="87300"/>
    <n v="87575"/>
    <n v="715333"/>
    <n v="1824.07"/>
    <n v="0"/>
    <n v="1"/>
    <n v="622"/>
    <n v="1244"/>
    <n v="-148"/>
    <n v="0"/>
    <n v="-148"/>
    <x v="1"/>
    <x v="6"/>
    <n v="-158"/>
    <n v="19"/>
    <n v="-3002"/>
    <n v="1200815"/>
  </r>
  <r>
    <d v="2024-07-03T00:00:00"/>
    <n v="0"/>
    <n v="87492"/>
    <n v="88940"/>
    <n v="87351"/>
    <n v="88628"/>
    <n v="574324"/>
    <n v="1807.28"/>
    <n v="1"/>
    <n v="0"/>
    <n v="608"/>
    <n v="1216"/>
    <n v="0"/>
    <n v="608"/>
    <n v="608"/>
    <x v="1"/>
    <x v="6"/>
    <n v="598"/>
    <n v="19"/>
    <n v="11362"/>
    <n v="1212177"/>
  </r>
  <r>
    <d v="2024-07-04T00:00:00"/>
    <n v="0"/>
    <n v="88628"/>
    <n v="89817"/>
    <n v="88628"/>
    <n v="89581"/>
    <n v="440345"/>
    <n v="1763.11"/>
    <n v="1"/>
    <n v="1"/>
    <n v="602"/>
    <n v="1205"/>
    <n v="1063"/>
    <n v="0"/>
    <n v="1063"/>
    <x v="1"/>
    <x v="6"/>
    <n v="1053"/>
    <n v="20"/>
    <n v="21060"/>
    <n v="1233237"/>
  </r>
  <r>
    <d v="2024-07-05T00:00:00"/>
    <n v="0"/>
    <n v="89585"/>
    <n v="89800"/>
    <n v="88100"/>
    <n v="89102"/>
    <n v="650629"/>
    <n v="1758.61"/>
    <n v="0"/>
    <n v="1"/>
    <n v="588"/>
    <n v="1175"/>
    <n v="-548"/>
    <n v="0"/>
    <n v="-548"/>
    <x v="1"/>
    <x v="6"/>
    <n v="-558"/>
    <n v="20"/>
    <n v="-11160"/>
    <n v="1222077"/>
  </r>
  <r>
    <d v="2024-07-08T00:00:00"/>
    <n v="0"/>
    <n v="89103"/>
    <n v="89637"/>
    <n v="88406"/>
    <n v="88678"/>
    <n v="501137"/>
    <n v="1720.92"/>
    <n v="0"/>
    <n v="0"/>
    <n v="586"/>
    <n v="1172"/>
    <n v="0"/>
    <n v="385"/>
    <n v="385"/>
    <x v="1"/>
    <x v="6"/>
    <n v="375"/>
    <n v="20"/>
    <n v="7500"/>
    <n v="1229577"/>
  </r>
  <r>
    <d v="2024-07-09T00:00:00"/>
    <n v="0"/>
    <n v="88698"/>
    <n v="89041"/>
    <n v="87576"/>
    <n v="87970"/>
    <n v="629893"/>
    <n v="1702.64"/>
    <n v="0"/>
    <n v="0"/>
    <n v="574"/>
    <n v="1147"/>
    <n v="0"/>
    <n v="748"/>
    <n v="748"/>
    <x v="1"/>
    <x v="6"/>
    <n v="738"/>
    <n v="21"/>
    <n v="15498"/>
    <n v="1245075"/>
  </r>
  <r>
    <d v="2024-07-10T00:00:00"/>
    <n v="0"/>
    <n v="88018"/>
    <n v="89176"/>
    <n v="87805"/>
    <n v="88975"/>
    <n v="554886"/>
    <n v="1678.95"/>
    <n v="1"/>
    <n v="0"/>
    <n v="568"/>
    <n v="1135"/>
    <n v="0"/>
    <n v="-961"/>
    <n v="-961"/>
    <x v="1"/>
    <x v="6"/>
    <n v="-971"/>
    <n v="21"/>
    <n v="-20391"/>
    <n v="1224684"/>
  </r>
  <r>
    <d v="2024-07-11T00:00:00"/>
    <n v="0"/>
    <n v="88975"/>
    <n v="89374"/>
    <n v="88531"/>
    <n v="88673"/>
    <n v="525607"/>
    <n v="1619.24"/>
    <n v="0"/>
    <n v="1"/>
    <n v="560"/>
    <n v="1119"/>
    <n v="-333"/>
    <n v="0"/>
    <n v="-333"/>
    <x v="1"/>
    <x v="6"/>
    <n v="-343"/>
    <n v="21"/>
    <n v="-7203"/>
    <n v="1217481"/>
  </r>
  <r>
    <d v="2024-07-12T00:00:00"/>
    <n v="0"/>
    <n v="88681"/>
    <n v="89144"/>
    <n v="88596"/>
    <n v="88810"/>
    <n v="398444"/>
    <n v="1542.72"/>
    <n v="1"/>
    <n v="0"/>
    <n v="540"/>
    <n v="1079"/>
    <n v="0"/>
    <n v="-116"/>
    <n v="-116"/>
    <x v="1"/>
    <x v="6"/>
    <n v="-126"/>
    <n v="22"/>
    <n v="-2772"/>
    <n v="1214709"/>
  </r>
  <r>
    <d v="2024-07-15T00:00:00"/>
    <n v="0"/>
    <n v="88901"/>
    <n v="89335"/>
    <n v="88035"/>
    <n v="89129"/>
    <n v="640644"/>
    <n v="1525.39"/>
    <n v="1"/>
    <n v="1"/>
    <n v="514"/>
    <n v="1028"/>
    <n v="367"/>
    <n v="0"/>
    <n v="367"/>
    <x v="1"/>
    <x v="6"/>
    <n v="357"/>
    <n v="23"/>
    <n v="8211"/>
    <n v="1222920"/>
  </r>
  <r>
    <d v="2024-07-16T00:00:00"/>
    <n v="0"/>
    <n v="89128"/>
    <n v="89350"/>
    <n v="88525"/>
    <n v="88816"/>
    <n v="422395"/>
    <n v="1475.36"/>
    <n v="0"/>
    <n v="1"/>
    <n v="508"/>
    <n v="1017"/>
    <n v="-168"/>
    <n v="0"/>
    <n v="-168"/>
    <x v="1"/>
    <x v="6"/>
    <n v="-178"/>
    <n v="24"/>
    <n v="-4272"/>
    <n v="1218648"/>
  </r>
  <r>
    <d v="2024-07-17T00:00:00"/>
    <n v="0"/>
    <n v="88855"/>
    <n v="89070"/>
    <n v="87904"/>
    <n v="87904"/>
    <n v="411739"/>
    <n v="1453.26"/>
    <n v="0"/>
    <n v="0"/>
    <n v="492"/>
    <n v="984"/>
    <n v="0"/>
    <n v="841"/>
    <n v="841"/>
    <x v="1"/>
    <x v="6"/>
    <n v="831"/>
    <n v="24"/>
    <n v="19944"/>
    <n v="1238592"/>
  </r>
  <r>
    <d v="2024-07-18T00:00:00"/>
    <n v="0"/>
    <n v="87967"/>
    <n v="88465"/>
    <n v="87808"/>
    <n v="88440"/>
    <n v="449881"/>
    <n v="1396.39"/>
    <n v="1"/>
    <n v="0"/>
    <n v="484"/>
    <n v="969"/>
    <n v="0"/>
    <n v="-435"/>
    <n v="-435"/>
    <x v="1"/>
    <x v="6"/>
    <n v="-445"/>
    <n v="25"/>
    <n v="-11125"/>
    <n v="1227467"/>
  </r>
  <r>
    <d v="2024-07-19T00:00:00"/>
    <n v="0"/>
    <n v="88461"/>
    <n v="88845"/>
    <n v="87762"/>
    <n v="87959"/>
    <n v="445314"/>
    <n v="1374"/>
    <n v="0"/>
    <n v="1"/>
    <n v="465"/>
    <n v="931"/>
    <n v="465"/>
    <n v="0"/>
    <n v="465"/>
    <x v="1"/>
    <x v="6"/>
    <n v="455"/>
    <n v="26"/>
    <n v="11830"/>
    <n v="1239297"/>
  </r>
  <r>
    <d v="2024-07-22T00:00:00"/>
    <n v="0"/>
    <n v="87940"/>
    <n v="88523"/>
    <n v="87732"/>
    <n v="88445"/>
    <n v="364028"/>
    <n v="1332.36"/>
    <n v="1"/>
    <n v="0"/>
    <n v="458"/>
    <n v="916"/>
    <n v="0"/>
    <n v="-488"/>
    <n v="-488"/>
    <x v="1"/>
    <x v="6"/>
    <n v="-498"/>
    <n v="27"/>
    <n v="-13446"/>
    <n v="1225851"/>
  </r>
  <r>
    <d v="2024-07-23T00:00:00"/>
    <n v="0"/>
    <n v="88439"/>
    <n v="88449"/>
    <n v="87220"/>
    <n v="87532"/>
    <n v="399794"/>
    <n v="1324.97"/>
    <n v="0"/>
    <n v="1"/>
    <n v="444"/>
    <n v="888"/>
    <n v="444"/>
    <n v="0"/>
    <n v="444"/>
    <x v="1"/>
    <x v="6"/>
    <n v="434"/>
    <n v="27"/>
    <n v="11718"/>
    <n v="1237569"/>
  </r>
  <r>
    <d v="2024-07-24T00:00:00"/>
    <n v="0"/>
    <n v="87532"/>
    <n v="87532"/>
    <n v="86800"/>
    <n v="86880"/>
    <n v="305076"/>
    <n v="1282.6199999999999"/>
    <n v="0"/>
    <n v="0"/>
    <n v="442"/>
    <n v="883"/>
    <n v="0"/>
    <n v="663"/>
    <n v="663"/>
    <x v="1"/>
    <x v="6"/>
    <n v="653"/>
    <n v="27"/>
    <n v="17631"/>
    <n v="1255200"/>
  </r>
  <r>
    <d v="2024-07-25T00:00:00"/>
    <n v="0"/>
    <n v="86850"/>
    <n v="86860"/>
    <n v="86010"/>
    <n v="86409"/>
    <n v="464865"/>
    <n v="1253.1500000000001"/>
    <n v="0"/>
    <n v="0"/>
    <n v="428"/>
    <n v="855"/>
    <n v="0"/>
    <n v="538"/>
    <n v="538"/>
    <x v="1"/>
    <x v="6"/>
    <n v="528"/>
    <n v="29"/>
    <n v="15312"/>
    <n v="1270512"/>
  </r>
  <r>
    <d v="2024-07-26T00:00:00"/>
    <n v="0"/>
    <n v="86340"/>
    <n v="87615"/>
    <n v="86152"/>
    <n v="87300"/>
    <n v="723640"/>
    <n v="1268.1400000000001"/>
    <n v="1"/>
    <n v="0"/>
    <n v="418"/>
    <n v="835"/>
    <n v="0"/>
    <n v="418"/>
    <n v="418"/>
    <x v="1"/>
    <x v="6"/>
    <n v="408"/>
    <n v="30"/>
    <n v="12240"/>
    <n v="1282752"/>
  </r>
  <r>
    <d v="2024-07-29T00:00:00"/>
    <n v="0"/>
    <n v="87287"/>
    <n v="87599"/>
    <n v="86516"/>
    <n v="86692"/>
    <n v="374431"/>
    <n v="1254.9100000000001"/>
    <n v="0"/>
    <n v="1"/>
    <n v="423"/>
    <n v="845"/>
    <n v="423"/>
    <n v="0"/>
    <n v="423"/>
    <x v="1"/>
    <x v="6"/>
    <n v="413"/>
    <n v="30"/>
    <n v="12390"/>
    <n v="1295142"/>
  </r>
  <r>
    <d v="2024-07-30T00:00:00"/>
    <n v="0"/>
    <n v="86720"/>
    <n v="87330"/>
    <n v="86650"/>
    <n v="87130"/>
    <n v="378225"/>
    <n v="1213.8499999999999"/>
    <n v="1"/>
    <n v="0"/>
    <n v="418"/>
    <n v="837"/>
    <n v="0"/>
    <n v="-404"/>
    <n v="-404"/>
    <x v="1"/>
    <x v="6"/>
    <n v="-414"/>
    <n v="30"/>
    <n v="-12420"/>
    <n v="1282722"/>
  </r>
  <r>
    <d v="2024-07-31T00:00:00"/>
    <n v="0"/>
    <n v="87128"/>
    <n v="87250"/>
    <n v="86029"/>
    <n v="86280"/>
    <n v="532405"/>
    <n v="1214.3599999999999"/>
    <n v="0"/>
    <n v="1"/>
    <n v="405"/>
    <n v="809"/>
    <n v="405"/>
    <n v="0"/>
    <n v="405"/>
    <x v="1"/>
    <x v="6"/>
    <n v="395"/>
    <n v="31"/>
    <n v="12245"/>
    <n v="1294967"/>
  </r>
  <r>
    <d v="2024-08-01T00:00:00"/>
    <n v="0"/>
    <n v="86299"/>
    <n v="86650"/>
    <n v="85600"/>
    <n v="85867"/>
    <n v="416044"/>
    <n v="1202.6199999999999"/>
    <n v="0"/>
    <n v="0"/>
    <n v="405"/>
    <n v="810"/>
    <n v="0"/>
    <n v="460"/>
    <n v="460"/>
    <x v="1"/>
    <x v="7"/>
    <n v="450"/>
    <n v="31"/>
    <n v="13950"/>
    <n v="1308917"/>
  </r>
  <r>
    <d v="2024-08-02T00:00:00"/>
    <n v="0"/>
    <n v="85752"/>
    <n v="86492"/>
    <n v="85506"/>
    <n v="85976"/>
    <n v="543040"/>
    <n v="1187.1500000000001"/>
    <n v="1"/>
    <n v="0"/>
    <n v="401"/>
    <n v="802"/>
    <n v="0"/>
    <n v="-163"/>
    <n v="-163"/>
    <x v="1"/>
    <x v="7"/>
    <n v="-173"/>
    <n v="32"/>
    <n v="-5536"/>
    <n v="1303381"/>
  </r>
  <r>
    <d v="2024-08-05T00:00:00"/>
    <n v="0"/>
    <n v="85983"/>
    <n v="86242"/>
    <n v="84941"/>
    <n v="85795"/>
    <n v="576979"/>
    <n v="1195.28"/>
    <n v="0"/>
    <n v="1"/>
    <n v="396"/>
    <n v="791"/>
    <n v="-226"/>
    <n v="0"/>
    <n v="-226"/>
    <x v="1"/>
    <x v="7"/>
    <n v="-236"/>
    <n v="32"/>
    <n v="-7552"/>
    <n v="1295829"/>
  </r>
  <r>
    <d v="2024-08-06T00:00:00"/>
    <n v="0"/>
    <n v="85816"/>
    <n v="86386"/>
    <n v="85183"/>
    <n v="86284"/>
    <n v="536605"/>
    <n v="1195.83"/>
    <n v="1"/>
    <n v="0"/>
    <n v="398"/>
    <n v="797"/>
    <n v="0"/>
    <n v="-389"/>
    <n v="-389"/>
    <x v="1"/>
    <x v="7"/>
    <n v="-399"/>
    <n v="32"/>
    <n v="-12768"/>
    <n v="1283061"/>
  </r>
  <r>
    <d v="2024-08-07T00:00:00"/>
    <n v="0"/>
    <n v="86452"/>
    <n v="86491"/>
    <n v="85900"/>
    <n v="86207"/>
    <n v="412174"/>
    <n v="1152.6300000000001"/>
    <n v="0"/>
    <n v="1"/>
    <n v="399"/>
    <n v="797"/>
    <n v="-248"/>
    <n v="0"/>
    <n v="-248"/>
    <x v="1"/>
    <x v="7"/>
    <n v="-258"/>
    <n v="32"/>
    <n v="-8256"/>
    <n v="1274805"/>
  </r>
  <r>
    <d v="2024-08-08T00:00:00"/>
    <n v="0"/>
    <n v="86225"/>
    <n v="86876"/>
    <n v="86000"/>
    <n v="86509"/>
    <n v="522071"/>
    <n v="1132.8699999999999"/>
    <n v="1"/>
    <n v="0"/>
    <n v="384"/>
    <n v="768"/>
    <n v="0"/>
    <n v="-394"/>
    <n v="-394"/>
    <x v="1"/>
    <x v="7"/>
    <n v="-404"/>
    <n v="33"/>
    <n v="-13332"/>
    <n v="1261473"/>
  </r>
  <r>
    <d v="2024-08-09T00:00:00"/>
    <n v="0"/>
    <n v="86511"/>
    <n v="87020"/>
    <n v="86320"/>
    <n v="86582"/>
    <n v="515751"/>
    <n v="1101.95"/>
    <n v="1"/>
    <n v="1"/>
    <n v="378"/>
    <n v="755"/>
    <n v="69"/>
    <n v="0"/>
    <n v="69"/>
    <x v="1"/>
    <x v="7"/>
    <n v="59"/>
    <n v="33"/>
    <n v="1947"/>
    <n v="1263420"/>
  </r>
  <r>
    <d v="2024-08-12T00:00:00"/>
    <n v="0"/>
    <n v="86636"/>
    <n v="89100"/>
    <n v="86403"/>
    <n v="88715"/>
    <n v="913243"/>
    <n v="1215.8800000000001"/>
    <n v="1"/>
    <n v="1"/>
    <n v="367"/>
    <n v="735"/>
    <n v="735"/>
    <n v="0"/>
    <n v="735"/>
    <x v="1"/>
    <x v="7"/>
    <n v="725"/>
    <n v="34"/>
    <n v="24650"/>
    <n v="1288070"/>
  </r>
  <r>
    <d v="2024-08-13T00:00:00"/>
    <n v="0"/>
    <n v="88768"/>
    <n v="89890"/>
    <n v="88570"/>
    <n v="89527"/>
    <n v="1067129"/>
    <n v="1223.32"/>
    <n v="1"/>
    <n v="1"/>
    <n v="405"/>
    <n v="811"/>
    <n v="748"/>
    <n v="0"/>
    <n v="748"/>
    <x v="1"/>
    <x v="7"/>
    <n v="738"/>
    <n v="31"/>
    <n v="22878"/>
    <n v="1310948"/>
  </r>
  <r>
    <d v="2024-08-14T00:00:00"/>
    <n v="0"/>
    <n v="89550"/>
    <n v="89925"/>
    <n v="87567"/>
    <n v="87717"/>
    <n v="798872"/>
    <n v="1304.3699999999999"/>
    <n v="0"/>
    <n v="1"/>
    <n v="408"/>
    <n v="816"/>
    <n v="408"/>
    <n v="0"/>
    <n v="408"/>
    <x v="1"/>
    <x v="7"/>
    <n v="398"/>
    <n v="32"/>
    <n v="12736"/>
    <n v="1323684"/>
  </r>
  <r>
    <d v="2024-08-15T00:00:00"/>
    <n v="0"/>
    <n v="87697"/>
    <n v="88420"/>
    <n v="87334"/>
    <n v="88020"/>
    <n v="537274"/>
    <n v="1288.77"/>
    <n v="1"/>
    <n v="0"/>
    <n v="435"/>
    <n v="870"/>
    <n v="0"/>
    <n v="-348"/>
    <n v="-348"/>
    <x v="1"/>
    <x v="7"/>
    <n v="-358"/>
    <n v="30"/>
    <n v="-10740"/>
    <n v="1312944"/>
  </r>
  <r>
    <d v="2024-08-16T00:00:00"/>
    <n v="0"/>
    <n v="88018"/>
    <n v="88609"/>
    <n v="87630"/>
    <n v="88249"/>
    <n v="468369"/>
    <n v="1266.6400000000001"/>
    <n v="1"/>
    <n v="1"/>
    <n v="430"/>
    <n v="859"/>
    <n v="33"/>
    <n v="0"/>
    <n v="33"/>
    <x v="1"/>
    <x v="7"/>
    <n v="23"/>
    <n v="30"/>
    <n v="690"/>
    <n v="1313634"/>
  </r>
  <r>
    <d v="2024-08-19T00:00:00"/>
    <n v="0"/>
    <n v="88253"/>
    <n v="88774"/>
    <n v="88038"/>
    <n v="88497"/>
    <n v="388517"/>
    <n v="1228.74"/>
    <n v="1"/>
    <n v="1"/>
    <n v="422"/>
    <n v="844"/>
    <n v="225"/>
    <n v="0"/>
    <n v="225"/>
    <x v="1"/>
    <x v="7"/>
    <n v="215"/>
    <n v="31"/>
    <n v="6665"/>
    <n v="1320299"/>
  </r>
  <r>
    <d v="2024-08-20T00:00:00"/>
    <n v="0"/>
    <n v="88497"/>
    <n v="89330"/>
    <n v="88000"/>
    <n v="89061"/>
    <n v="503950"/>
    <n v="1235.97"/>
    <n v="1"/>
    <n v="1"/>
    <n v="410"/>
    <n v="819"/>
    <n v="578"/>
    <n v="0"/>
    <n v="578"/>
    <x v="1"/>
    <x v="7"/>
    <n v="568"/>
    <n v="32"/>
    <n v="18176"/>
    <n v="1338475"/>
  </r>
  <r>
    <d v="2024-08-21T00:00:00"/>
    <n v="0"/>
    <n v="89129"/>
    <n v="89548"/>
    <n v="88556"/>
    <n v="88860"/>
    <n v="461764"/>
    <n v="1218.55"/>
    <n v="0"/>
    <n v="1"/>
    <n v="412"/>
    <n v="824"/>
    <n v="-280"/>
    <n v="0"/>
    <n v="-280"/>
    <x v="1"/>
    <x v="7"/>
    <n v="-290"/>
    <n v="32"/>
    <n v="-9280"/>
    <n v="1329195"/>
  </r>
  <r>
    <d v="2024-08-22T00:00:00"/>
    <n v="0"/>
    <n v="88884"/>
    <n v="88950"/>
    <n v="87289"/>
    <n v="87767"/>
    <n v="623615"/>
    <n v="1250.1500000000001"/>
    <n v="0"/>
    <n v="0"/>
    <n v="406"/>
    <n v="812"/>
    <n v="0"/>
    <n v="812"/>
    <n v="812"/>
    <x v="1"/>
    <x v="7"/>
    <n v="802"/>
    <n v="32"/>
    <n v="25664"/>
    <n v="1354859"/>
  </r>
  <r>
    <d v="2024-08-23T00:00:00"/>
    <n v="0"/>
    <n v="87777"/>
    <n v="89045"/>
    <n v="87467"/>
    <n v="88603"/>
    <n v="661800"/>
    <n v="1273.57"/>
    <n v="1"/>
    <n v="0"/>
    <n v="417"/>
    <n v="833"/>
    <n v="0"/>
    <n v="417"/>
    <n v="417"/>
    <x v="1"/>
    <x v="7"/>
    <n v="407"/>
    <n v="32"/>
    <n v="13024"/>
    <n v="1367883"/>
  </r>
  <r>
    <d v="2024-08-26T00:00:00"/>
    <n v="0"/>
    <n v="88694"/>
    <n v="89651"/>
    <n v="88213"/>
    <n v="89113"/>
    <n v="659823"/>
    <n v="1285.31"/>
    <n v="1"/>
    <n v="1"/>
    <n v="425"/>
    <n v="849"/>
    <n v="423"/>
    <n v="0"/>
    <n v="423"/>
    <x v="1"/>
    <x v="7"/>
    <n v="413"/>
    <n v="32"/>
    <n v="13216"/>
    <n v="1381099"/>
  </r>
  <r>
    <d v="2024-08-27T00:00:00"/>
    <n v="0"/>
    <n v="89105"/>
    <n v="89789"/>
    <n v="88760"/>
    <n v="89600"/>
    <n v="526971"/>
    <n v="1267"/>
    <n v="1"/>
    <n v="1"/>
    <n v="428"/>
    <n v="857"/>
    <n v="391"/>
    <n v="0"/>
    <n v="391"/>
    <x v="1"/>
    <x v="7"/>
    <n v="381"/>
    <n v="32"/>
    <n v="12192"/>
    <n v="1393291"/>
  </r>
  <r>
    <d v="2024-08-28T00:00:00"/>
    <n v="0"/>
    <n v="89600"/>
    <n v="89967"/>
    <n v="88934"/>
    <n v="89412"/>
    <n v="522477"/>
    <n v="1250.29"/>
    <n v="0"/>
    <n v="1"/>
    <n v="422"/>
    <n v="845"/>
    <n v="-209"/>
    <n v="0"/>
    <n v="-209"/>
    <x v="1"/>
    <x v="7"/>
    <n v="-219"/>
    <n v="33"/>
    <n v="-7227"/>
    <n v="1386064"/>
  </r>
  <r>
    <d v="2024-08-29T00:00:00"/>
    <n v="0"/>
    <n v="89413"/>
    <n v="90125"/>
    <n v="89303"/>
    <n v="89977"/>
    <n v="653571"/>
    <n v="1219.7"/>
    <n v="1"/>
    <n v="0"/>
    <n v="417"/>
    <n v="834"/>
    <n v="0"/>
    <n v="-527"/>
    <n v="-527"/>
    <x v="1"/>
    <x v="7"/>
    <n v="-537"/>
    <n v="33"/>
    <n v="-17721"/>
    <n v="1368343"/>
  </r>
  <r>
    <d v="2024-08-30T00:00:00"/>
    <n v="0"/>
    <n v="89987"/>
    <n v="90444"/>
    <n v="89400"/>
    <n v="89775"/>
    <n v="476742"/>
    <n v="1207.1500000000001"/>
    <n v="0"/>
    <n v="1"/>
    <n v="407"/>
    <n v="813"/>
    <n v="-311"/>
    <n v="0"/>
    <n v="-311"/>
    <x v="1"/>
    <x v="7"/>
    <n v="-321"/>
    <n v="33"/>
    <n v="-10593"/>
    <n v="1357750"/>
  </r>
  <r>
    <d v="2024-09-02T00:00:00"/>
    <n v="0"/>
    <n v="89695"/>
    <n v="89901"/>
    <n v="88550"/>
    <n v="88776"/>
    <n v="536453"/>
    <n v="1217.42"/>
    <n v="0"/>
    <n v="0"/>
    <n v="402"/>
    <n v="805"/>
    <n v="0"/>
    <n v="805"/>
    <n v="805"/>
    <x v="1"/>
    <x v="8"/>
    <n v="795"/>
    <n v="33"/>
    <n v="26235"/>
    <n v="1383985"/>
  </r>
  <r>
    <d v="2024-09-03T00:00:00"/>
    <n v="0"/>
    <n v="88808"/>
    <n v="88932"/>
    <n v="87605"/>
    <n v="87635"/>
    <n v="658193"/>
    <n v="1225.25"/>
    <n v="0"/>
    <n v="0"/>
    <n v="406"/>
    <n v="812"/>
    <n v="0"/>
    <n v="812"/>
    <n v="812"/>
    <x v="1"/>
    <x v="8"/>
    <n v="802"/>
    <n v="34"/>
    <n v="27268"/>
    <n v="1411253"/>
  </r>
  <r>
    <d v="2024-09-04T00:00:00"/>
    <n v="0"/>
    <n v="87737"/>
    <n v="89028"/>
    <n v="87640"/>
    <n v="88797"/>
    <n v="898468"/>
    <n v="1237.23"/>
    <n v="1"/>
    <n v="0"/>
    <n v="408"/>
    <n v="817"/>
    <n v="0"/>
    <n v="408"/>
    <n v="408"/>
    <x v="1"/>
    <x v="8"/>
    <n v="398"/>
    <n v="34"/>
    <n v="13532"/>
    <n v="1424785"/>
  </r>
  <r>
    <d v="2024-09-05T00:00:00"/>
    <n v="0"/>
    <n v="88803"/>
    <n v="89150"/>
    <n v="88129"/>
    <n v="88415"/>
    <n v="648170"/>
    <n v="1221.79"/>
    <n v="0"/>
    <n v="1"/>
    <n v="412"/>
    <n v="825"/>
    <n v="412"/>
    <n v="0"/>
    <n v="412"/>
    <x v="1"/>
    <x v="8"/>
    <n v="402"/>
    <n v="34"/>
    <n v="13668"/>
    <n v="1438453"/>
  </r>
  <r>
    <d v="2024-09-06T00:00:00"/>
    <n v="0"/>
    <n v="88400"/>
    <n v="89438"/>
    <n v="88270"/>
    <n v="89244"/>
    <n v="544247"/>
    <n v="1217.95"/>
    <n v="1"/>
    <n v="0"/>
    <n v="407"/>
    <n v="815"/>
    <n v="0"/>
    <n v="407"/>
    <n v="407"/>
    <x v="1"/>
    <x v="8"/>
    <n v="397"/>
    <n v="35"/>
    <n v="13895"/>
    <n v="1452348"/>
  </r>
  <r>
    <d v="2024-09-09T00:00:00"/>
    <n v="0"/>
    <n v="89273"/>
    <n v="90200"/>
    <n v="89214"/>
    <n v="90161"/>
    <n v="426061"/>
    <n v="1201.3800000000001"/>
    <n v="1"/>
    <n v="1"/>
    <n v="406"/>
    <n v="812"/>
    <n v="812"/>
    <n v="0"/>
    <n v="812"/>
    <x v="1"/>
    <x v="8"/>
    <n v="802"/>
    <n v="35"/>
    <n v="28070"/>
    <n v="1480418"/>
  </r>
  <r>
    <d v="2024-09-10T00:00:00"/>
    <n v="0"/>
    <n v="90177"/>
    <n v="90650"/>
    <n v="89925"/>
    <n v="90408"/>
    <n v="392813"/>
    <n v="1167.3499999999999"/>
    <n v="1"/>
    <n v="1"/>
    <n v="400"/>
    <n v="801"/>
    <n v="239"/>
    <n v="0"/>
    <n v="239"/>
    <x v="1"/>
    <x v="8"/>
    <n v="229"/>
    <n v="37"/>
    <n v="8473"/>
    <n v="1488891"/>
  </r>
  <r>
    <d v="2024-09-11T00:00:00"/>
    <n v="0"/>
    <n v="90384"/>
    <n v="90578"/>
    <n v="89531"/>
    <n v="89876"/>
    <n v="608029"/>
    <n v="1158.75"/>
    <n v="0"/>
    <n v="1"/>
    <n v="389"/>
    <n v="778"/>
    <n v="389"/>
    <n v="0"/>
    <n v="389"/>
    <x v="1"/>
    <x v="8"/>
    <n v="379"/>
    <n v="38"/>
    <n v="14402"/>
    <n v="1503293"/>
  </r>
  <r>
    <d v="2024-09-12T00:00:00"/>
    <n v="0"/>
    <n v="89907"/>
    <n v="90500"/>
    <n v="89876"/>
    <n v="90272"/>
    <n v="386823"/>
    <n v="1120.56"/>
    <n v="1"/>
    <n v="0"/>
    <n v="386"/>
    <n v="772"/>
    <n v="0"/>
    <n v="-348"/>
    <n v="-348"/>
    <x v="1"/>
    <x v="8"/>
    <n v="-358"/>
    <n v="38"/>
    <n v="-13604"/>
    <n v="1489689"/>
  </r>
  <r>
    <d v="2024-09-13T00:00:00"/>
    <n v="0"/>
    <n v="90272"/>
    <n v="90549"/>
    <n v="89710"/>
    <n v="90470"/>
    <n v="395236"/>
    <n v="1100.45"/>
    <n v="1"/>
    <n v="1"/>
    <n v="374"/>
    <n v="747"/>
    <n v="146"/>
    <n v="0"/>
    <n v="146"/>
    <x v="1"/>
    <x v="8"/>
    <n v="136"/>
    <n v="39"/>
    <n v="5304"/>
    <n v="1494993"/>
  </r>
  <r>
    <d v="2024-09-16T00:00:00"/>
    <n v="0"/>
    <n v="90460"/>
    <n v="91398"/>
    <n v="90423"/>
    <n v="91153"/>
    <n v="471370"/>
    <n v="1091.49"/>
    <n v="1"/>
    <n v="1"/>
    <n v="367"/>
    <n v="734"/>
    <n v="639"/>
    <n v="0"/>
    <n v="639"/>
    <x v="1"/>
    <x v="8"/>
    <n v="629"/>
    <n v="40"/>
    <n v="25160"/>
    <n v="1520153"/>
  </r>
  <r>
    <d v="2024-09-17T00:00:00"/>
    <n v="0"/>
    <n v="91131"/>
    <n v="91296"/>
    <n v="90450"/>
    <n v="90850"/>
    <n v="483742"/>
    <n v="1073.95"/>
    <n v="0"/>
    <n v="1"/>
    <n v="364"/>
    <n v="728"/>
    <n v="-272"/>
    <n v="0"/>
    <n v="-272"/>
    <x v="1"/>
    <x v="8"/>
    <n v="-282"/>
    <n v="41"/>
    <n v="-11562"/>
    <n v="1508591"/>
  </r>
  <r>
    <d v="2024-09-18T00:00:00"/>
    <n v="0"/>
    <n v="91936"/>
    <n v="92280"/>
    <n v="91001"/>
    <n v="91550"/>
    <n v="427434"/>
    <n v="1099.3800000000001"/>
    <n v="0"/>
    <n v="0"/>
    <n v="358"/>
    <n v="716"/>
    <n v="0"/>
    <n v="429"/>
    <n v="429"/>
    <x v="1"/>
    <x v="8"/>
    <n v="419"/>
    <n v="42"/>
    <n v="17598"/>
    <n v="1526189"/>
  </r>
  <r>
    <d v="2024-09-19T00:00:00"/>
    <n v="0"/>
    <n v="91531"/>
    <n v="92139"/>
    <n v="91144"/>
    <n v="91438"/>
    <n v="640932"/>
    <n v="1091.93"/>
    <n v="0"/>
    <n v="0"/>
    <n v="366"/>
    <n v="733"/>
    <n v="0"/>
    <n v="131"/>
    <n v="131"/>
    <x v="1"/>
    <x v="8"/>
    <n v="121"/>
    <n v="41"/>
    <n v="4961"/>
    <n v="1531150"/>
  </r>
  <r>
    <d v="2024-09-20T00:00:00"/>
    <n v="0"/>
    <n v="91459"/>
    <n v="92830"/>
    <n v="91190"/>
    <n v="92670"/>
    <n v="665648"/>
    <n v="1131.08"/>
    <n v="1"/>
    <n v="0"/>
    <n v="364"/>
    <n v="728"/>
    <n v="0"/>
    <n v="364"/>
    <n v="364"/>
    <x v="1"/>
    <x v="8"/>
    <n v="354"/>
    <n v="42"/>
    <n v="14868"/>
    <n v="1546018"/>
  </r>
  <r>
    <d v="2024-09-23T00:00:00"/>
    <n v="0"/>
    <n v="92670"/>
    <n v="92850"/>
    <n v="92114"/>
    <n v="92530"/>
    <n v="366280"/>
    <n v="1102.8599999999999"/>
    <n v="0"/>
    <n v="1"/>
    <n v="377"/>
    <n v="754"/>
    <n v="-100"/>
    <n v="0"/>
    <n v="-100"/>
    <x v="1"/>
    <x v="8"/>
    <n v="-110"/>
    <n v="41"/>
    <n v="-4510"/>
    <n v="1541508"/>
  </r>
  <r>
    <d v="2024-09-24T00:00:00"/>
    <n v="0"/>
    <n v="92531"/>
    <n v="92850"/>
    <n v="91545"/>
    <n v="91583"/>
    <n v="557165"/>
    <n v="1117.29"/>
    <n v="0"/>
    <n v="0"/>
    <n v="368"/>
    <n v="735"/>
    <n v="0"/>
    <n v="735"/>
    <n v="735"/>
    <x v="1"/>
    <x v="8"/>
    <n v="725"/>
    <n v="41"/>
    <n v="29725"/>
    <n v="1571233"/>
  </r>
  <r>
    <d v="2024-09-25T00:00:00"/>
    <n v="0"/>
    <n v="91618"/>
    <n v="92099"/>
    <n v="91160"/>
    <n v="91858"/>
    <n v="356389"/>
    <n v="1104.56"/>
    <n v="1"/>
    <n v="0"/>
    <n v="372"/>
    <n v="745"/>
    <n v="0"/>
    <n v="-284"/>
    <n v="-284"/>
    <x v="1"/>
    <x v="8"/>
    <n v="-294"/>
    <n v="42"/>
    <n v="-12348"/>
    <n v="1558885"/>
  </r>
  <r>
    <d v="2024-09-26T00:00:00"/>
    <n v="0"/>
    <n v="91839"/>
    <n v="92404"/>
    <n v="91609"/>
    <n v="92258"/>
    <n v="387517"/>
    <n v="1082.45"/>
    <n v="1"/>
    <n v="1"/>
    <n v="368"/>
    <n v="736"/>
    <n v="423"/>
    <n v="0"/>
    <n v="423"/>
    <x v="1"/>
    <x v="8"/>
    <n v="413"/>
    <n v="42"/>
    <n v="17346"/>
    <n v="1576231"/>
  </r>
  <r>
    <d v="2024-09-27T00:00:00"/>
    <n v="0"/>
    <n v="92258"/>
    <n v="92800"/>
    <n v="92200"/>
    <n v="92740"/>
    <n v="375520"/>
    <n v="1047.99"/>
    <n v="1"/>
    <n v="1"/>
    <n v="361"/>
    <n v="722"/>
    <n v="452"/>
    <n v="0"/>
    <n v="452"/>
    <x v="1"/>
    <x v="8"/>
    <n v="442"/>
    <n v="43"/>
    <n v="19006"/>
    <n v="1595237"/>
  </r>
  <r>
    <d v="2024-09-30T00:00:00"/>
    <n v="0"/>
    <n v="92747"/>
    <n v="93100"/>
    <n v="92565"/>
    <n v="93031"/>
    <n v="390031"/>
    <n v="1011.35"/>
    <n v="1"/>
    <n v="1"/>
    <n v="349"/>
    <n v="699"/>
    <n v="286"/>
    <n v="0"/>
    <n v="286"/>
    <x v="1"/>
    <x v="8"/>
    <n v="276"/>
    <n v="45"/>
    <n v="12420"/>
    <n v="1607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59D70-C05D-45BA-97C0-D2D3DD0BE3B4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compact="0" compactData="0" multipleFieldFilters="0">
  <location ref="A3:C27" firstHeaderRow="1" firstDataRow="1" firstDataCol="2"/>
  <pivotFields count="21">
    <pivotField compact="0" numFmtId="164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16"/>
  </rowFields>
  <rowItems count="2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 t="grand">
      <x/>
    </i>
  </rowItems>
  <colItems count="1">
    <i/>
  </colItems>
  <dataFields count="1">
    <dataField name="Сумма по полю total_profit2" fld="19" baseField="16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A1CE-33EA-4030-B543-C61171AF9F7D}">
  <dimension ref="A3:D27"/>
  <sheetViews>
    <sheetView workbookViewId="0">
      <selection activeCell="D27" sqref="D27"/>
    </sheetView>
  </sheetViews>
  <sheetFormatPr defaultRowHeight="15" x14ac:dyDescent="0.25"/>
  <cols>
    <col min="1" max="1" width="17.28515625" bestFit="1" customWidth="1"/>
    <col min="3" max="3" width="27.5703125" bestFit="1" customWidth="1"/>
    <col min="4" max="4" width="8.7109375" bestFit="1" customWidth="1"/>
  </cols>
  <sheetData>
    <row r="3" spans="1:4" x14ac:dyDescent="0.25">
      <c r="A3" s="10" t="s">
        <v>30</v>
      </c>
      <c r="B3" s="10" t="s">
        <v>31</v>
      </c>
      <c r="C3" t="s">
        <v>40</v>
      </c>
      <c r="D3" s="16" t="s">
        <v>42</v>
      </c>
    </row>
    <row r="4" spans="1:4" x14ac:dyDescent="0.25">
      <c r="A4">
        <v>2023</v>
      </c>
      <c r="B4">
        <v>1</v>
      </c>
      <c r="C4" s="13">
        <v>1298</v>
      </c>
      <c r="D4" s="7">
        <f>COUNTIFS(Sheet1!Q:Q,Лист1!A4,Sheet1!R:R,Лист1!B4,Sheet1!U:U,"&gt;0")/COUNTIFS(Sheet1!Q:Q,Лист1!A4,Sheet1!R:R,Лист1!B4)</f>
        <v>0.42857142857142855</v>
      </c>
    </row>
    <row r="5" spans="1:4" x14ac:dyDescent="0.25">
      <c r="A5">
        <v>2023</v>
      </c>
      <c r="B5">
        <v>2</v>
      </c>
      <c r="C5" s="13">
        <v>4601</v>
      </c>
      <c r="D5" s="7">
        <f>COUNTIFS(Sheet1!Q:Q,Лист1!A5,Sheet1!R:R,Лист1!B5,Sheet1!U:U,"&gt;0")/COUNTIFS(Sheet1!Q:Q,Лист1!A5,Sheet1!R:R,Лист1!B5)</f>
        <v>0.57894736842105265</v>
      </c>
    </row>
    <row r="6" spans="1:4" x14ac:dyDescent="0.25">
      <c r="A6">
        <v>2023</v>
      </c>
      <c r="B6">
        <v>3</v>
      </c>
      <c r="C6" s="13">
        <v>13756</v>
      </c>
      <c r="D6" s="7">
        <f>COUNTIFS(Sheet1!Q:Q,Лист1!A6,Sheet1!R:R,Лист1!B6,Sheet1!U:U,"&gt;0")/COUNTIFS(Sheet1!Q:Q,Лист1!A6,Sheet1!R:R,Лист1!B6)</f>
        <v>0.68181818181818177</v>
      </c>
    </row>
    <row r="7" spans="1:4" x14ac:dyDescent="0.25">
      <c r="A7">
        <v>2023</v>
      </c>
      <c r="B7">
        <v>4</v>
      </c>
      <c r="C7" s="13">
        <v>35575</v>
      </c>
      <c r="D7" s="7">
        <f>COUNTIFS(Sheet1!Q:Q,Лист1!A7,Sheet1!R:R,Лист1!B7,Sheet1!U:U,"&gt;0")/COUNTIFS(Sheet1!Q:Q,Лист1!A7,Sheet1!R:R,Лист1!B7)</f>
        <v>0.85</v>
      </c>
    </row>
    <row r="8" spans="1:4" x14ac:dyDescent="0.25">
      <c r="A8">
        <v>2023</v>
      </c>
      <c r="B8">
        <v>5</v>
      </c>
      <c r="C8" s="13">
        <v>37312</v>
      </c>
      <c r="D8" s="7">
        <f>COUNTIFS(Sheet1!Q:Q,Лист1!A8,Sheet1!R:R,Лист1!B8,Sheet1!U:U,"&gt;0")/COUNTIFS(Sheet1!Q:Q,Лист1!A8,Sheet1!R:R,Лист1!B8)</f>
        <v>0.76190476190476186</v>
      </c>
    </row>
    <row r="9" spans="1:4" x14ac:dyDescent="0.25">
      <c r="A9">
        <v>2023</v>
      </c>
      <c r="B9">
        <v>6</v>
      </c>
      <c r="C9" s="13">
        <v>25855</v>
      </c>
      <c r="D9" s="7">
        <f>COUNTIFS(Sheet1!Q:Q,Лист1!A9,Sheet1!R:R,Лист1!B9,Sheet1!U:U,"&gt;0")/COUNTIFS(Sheet1!Q:Q,Лист1!A9,Sheet1!R:R,Лист1!B9)</f>
        <v>0.61904761904761907</v>
      </c>
    </row>
    <row r="10" spans="1:4" x14ac:dyDescent="0.25">
      <c r="A10">
        <v>2023</v>
      </c>
      <c r="B10">
        <v>7</v>
      </c>
      <c r="C10" s="13">
        <v>18357</v>
      </c>
      <c r="D10" s="7">
        <f>COUNTIFS(Sheet1!Q:Q,Лист1!A10,Sheet1!R:R,Лист1!B10,Sheet1!U:U,"&gt;0")/COUNTIFS(Sheet1!Q:Q,Лист1!A10,Sheet1!R:R,Лист1!B10)</f>
        <v>0.61904761904761907</v>
      </c>
    </row>
    <row r="11" spans="1:4" x14ac:dyDescent="0.25">
      <c r="A11">
        <v>2023</v>
      </c>
      <c r="B11">
        <v>8</v>
      </c>
      <c r="C11" s="13">
        <v>35117</v>
      </c>
      <c r="D11" s="7">
        <f>COUNTIFS(Sheet1!Q:Q,Лист1!A11,Sheet1!R:R,Лист1!B11,Sheet1!U:U,"&gt;0")/COUNTIFS(Sheet1!Q:Q,Лист1!A11,Sheet1!R:R,Лист1!B11)</f>
        <v>0.60869565217391308</v>
      </c>
    </row>
    <row r="12" spans="1:4" x14ac:dyDescent="0.25">
      <c r="A12">
        <v>2023</v>
      </c>
      <c r="B12">
        <v>9</v>
      </c>
      <c r="C12" s="13">
        <v>43132</v>
      </c>
      <c r="D12" s="7">
        <f>COUNTIFS(Sheet1!Q:Q,Лист1!A12,Sheet1!R:R,Лист1!B12,Sheet1!U:U,"&gt;0")/COUNTIFS(Sheet1!Q:Q,Лист1!A12,Sheet1!R:R,Лист1!B12)</f>
        <v>0.76190476190476186</v>
      </c>
    </row>
    <row r="13" spans="1:4" x14ac:dyDescent="0.25">
      <c r="A13">
        <v>2023</v>
      </c>
      <c r="B13">
        <v>10</v>
      </c>
      <c r="C13" s="13">
        <v>53258</v>
      </c>
      <c r="D13" s="7">
        <f>COUNTIFS(Sheet1!Q:Q,Лист1!A13,Sheet1!R:R,Лист1!B13,Sheet1!U:U,"&gt;0")/COUNTIFS(Sheet1!Q:Q,Лист1!A13,Sheet1!R:R,Лист1!B13)</f>
        <v>0.63636363636363635</v>
      </c>
    </row>
    <row r="14" spans="1:4" x14ac:dyDescent="0.25">
      <c r="A14">
        <v>2023</v>
      </c>
      <c r="B14">
        <v>11</v>
      </c>
      <c r="C14" s="13">
        <v>54603</v>
      </c>
      <c r="D14" s="7">
        <f>COUNTIFS(Sheet1!Q:Q,Лист1!A14,Sheet1!R:R,Лист1!B14,Sheet1!U:U,"&gt;0")/COUNTIFS(Sheet1!Q:Q,Лист1!A14,Sheet1!R:R,Лист1!B14)</f>
        <v>0.68181818181818177</v>
      </c>
    </row>
    <row r="15" spans="1:4" x14ac:dyDescent="0.25">
      <c r="A15">
        <v>2023</v>
      </c>
      <c r="B15">
        <v>12</v>
      </c>
      <c r="C15" s="13">
        <v>75261</v>
      </c>
      <c r="D15" s="7">
        <f>COUNTIFS(Sheet1!Q:Q,Лист1!A15,Sheet1!R:R,Лист1!B15,Sheet1!U:U,"&gt;0")/COUNTIFS(Sheet1!Q:Q,Лист1!A15,Sheet1!R:R,Лист1!B15)</f>
        <v>0.80952380952380953</v>
      </c>
    </row>
    <row r="16" spans="1:4" x14ac:dyDescent="0.25">
      <c r="A16" t="s">
        <v>33</v>
      </c>
      <c r="C16" s="13">
        <v>398125</v>
      </c>
      <c r="D16" s="7"/>
    </row>
    <row r="17" spans="1:4" x14ac:dyDescent="0.25">
      <c r="A17">
        <v>2024</v>
      </c>
      <c r="B17">
        <v>1</v>
      </c>
      <c r="C17" s="13">
        <v>78730</v>
      </c>
      <c r="D17" s="7">
        <f>COUNTIFS(Sheet1!Q:Q,Лист1!A17,Sheet1!R:R,Лист1!B17,Sheet1!U:U,"&gt;0")/COUNTIFS(Sheet1!Q:Q,Лист1!A17,Sheet1!R:R,Лист1!B17)</f>
        <v>0.76190476190476186</v>
      </c>
    </row>
    <row r="18" spans="1:4" x14ac:dyDescent="0.25">
      <c r="A18">
        <v>2024</v>
      </c>
      <c r="B18">
        <v>2</v>
      </c>
      <c r="C18" s="13">
        <v>48393</v>
      </c>
      <c r="D18" s="7">
        <f>COUNTIFS(Sheet1!Q:Q,Лист1!A18,Sheet1!R:R,Лист1!B18,Sheet1!U:U,"&gt;0")/COUNTIFS(Sheet1!Q:Q,Лист1!A18,Sheet1!R:R,Лист1!B18)</f>
        <v>0.8</v>
      </c>
    </row>
    <row r="19" spans="1:4" x14ac:dyDescent="0.25">
      <c r="A19">
        <v>2024</v>
      </c>
      <c r="B19">
        <v>3</v>
      </c>
      <c r="C19" s="13">
        <v>56836</v>
      </c>
      <c r="D19" s="7">
        <f>COUNTIFS(Sheet1!Q:Q,Лист1!A19,Sheet1!R:R,Лист1!B19,Sheet1!U:U,"&gt;0")/COUNTIFS(Sheet1!Q:Q,Лист1!A19,Sheet1!R:R,Лист1!B19)</f>
        <v>0.65</v>
      </c>
    </row>
    <row r="20" spans="1:4" x14ac:dyDescent="0.25">
      <c r="A20">
        <v>2024</v>
      </c>
      <c r="B20">
        <v>4</v>
      </c>
      <c r="C20" s="13">
        <v>130229</v>
      </c>
      <c r="D20" s="7">
        <f>COUNTIFS(Sheet1!Q:Q,Лист1!A20,Sheet1!R:R,Лист1!B20,Sheet1!U:U,"&gt;0")/COUNTIFS(Sheet1!Q:Q,Лист1!A20,Sheet1!R:R,Лист1!B20)</f>
        <v>0.78260869565217395</v>
      </c>
    </row>
    <row r="21" spans="1:4" x14ac:dyDescent="0.25">
      <c r="A21">
        <v>2024</v>
      </c>
      <c r="B21">
        <v>5</v>
      </c>
      <c r="C21" s="13">
        <v>145281</v>
      </c>
      <c r="D21" s="7">
        <f>COUNTIFS(Sheet1!Q:Q,Лист1!A21,Sheet1!R:R,Лист1!B21,Sheet1!U:U,"&gt;0")/COUNTIFS(Sheet1!Q:Q,Лист1!A21,Sheet1!R:R,Лист1!B21)</f>
        <v>0.80952380952380953</v>
      </c>
    </row>
    <row r="22" spans="1:4" x14ac:dyDescent="0.25">
      <c r="A22">
        <v>2024</v>
      </c>
      <c r="B22">
        <v>6</v>
      </c>
      <c r="C22" s="13">
        <v>177925</v>
      </c>
      <c r="D22" s="7">
        <f>COUNTIFS(Sheet1!Q:Q,Лист1!A22,Sheet1!R:R,Лист1!B22,Sheet1!U:U,"&gt;0")/COUNTIFS(Sheet1!Q:Q,Лист1!A22,Sheet1!R:R,Лист1!B22)</f>
        <v>0.84210526315789469</v>
      </c>
    </row>
    <row r="23" spans="1:4" x14ac:dyDescent="0.25">
      <c r="A23">
        <v>2024</v>
      </c>
      <c r="B23">
        <v>7</v>
      </c>
      <c r="C23" s="13">
        <v>99448</v>
      </c>
      <c r="D23" s="7">
        <f>COUNTIFS(Sheet1!Q:Q,Лист1!A23,Sheet1!R:R,Лист1!B23,Sheet1!U:U,"&gt;0")/COUNTIFS(Sheet1!Q:Q,Лист1!A23,Sheet1!R:R,Лист1!B23)</f>
        <v>0.60869565217391308</v>
      </c>
    </row>
    <row r="24" spans="1:4" x14ac:dyDescent="0.25">
      <c r="A24">
        <v>2024</v>
      </c>
      <c r="B24">
        <v>8</v>
      </c>
      <c r="C24" s="13">
        <v>62783</v>
      </c>
      <c r="D24" s="7">
        <f>COUNTIFS(Sheet1!Q:Q,Лист1!A24,Sheet1!R:R,Лист1!B24,Sheet1!U:U,"&gt;0")/COUNTIFS(Sheet1!Q:Q,Лист1!A24,Sheet1!R:R,Лист1!B24)</f>
        <v>0.54545454545454541</v>
      </c>
    </row>
    <row r="25" spans="1:4" x14ac:dyDescent="0.25">
      <c r="A25">
        <v>2024</v>
      </c>
      <c r="B25">
        <v>9</v>
      </c>
      <c r="C25" s="13">
        <v>249907</v>
      </c>
      <c r="D25" s="7">
        <f>COUNTIFS(Sheet1!Q:Q,Лист1!A25,Sheet1!R:R,Лист1!B25,Sheet1!U:U,"&gt;0")/COUNTIFS(Sheet1!Q:Q,Лист1!A25,Sheet1!R:R,Лист1!B25)</f>
        <v>0.80952380952380953</v>
      </c>
    </row>
    <row r="26" spans="1:4" x14ac:dyDescent="0.25">
      <c r="A26" t="s">
        <v>34</v>
      </c>
      <c r="C26" s="13">
        <v>1049532</v>
      </c>
    </row>
    <row r="27" spans="1:4" x14ac:dyDescent="0.25">
      <c r="A27" t="s">
        <v>32</v>
      </c>
      <c r="C27" s="13">
        <v>1447657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1"/>
  <sheetViews>
    <sheetView topLeftCell="H1" workbookViewId="0">
      <selection activeCell="X5" sqref="X5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10" bestFit="1" customWidth="1"/>
    <col min="4" max="4" width="10.5703125" bestFit="1" customWidth="1"/>
    <col min="5" max="5" width="10.140625" bestFit="1" customWidth="1"/>
    <col min="6" max="6" width="9.85546875" bestFit="1" customWidth="1"/>
    <col min="7" max="7" width="11" bestFit="1" customWidth="1"/>
    <col min="9" max="9" width="9" bestFit="1" customWidth="1"/>
    <col min="10" max="10" width="19.7109375" bestFit="1" customWidth="1"/>
    <col min="11" max="11" width="25.42578125" bestFit="1" customWidth="1"/>
    <col min="12" max="12" width="12" bestFit="1" customWidth="1"/>
    <col min="13" max="13" width="12.28515625" bestFit="1" customWidth="1"/>
    <col min="14" max="14" width="18.140625" bestFit="1" customWidth="1"/>
    <col min="15" max="15" width="18.85546875" bestFit="1" customWidth="1"/>
    <col min="16" max="16" width="18.5703125" bestFit="1" customWidth="1"/>
    <col min="17" max="17" width="9.42578125" bestFit="1" customWidth="1"/>
    <col min="18" max="18" width="11.42578125" bestFit="1" customWidth="1"/>
    <col min="19" max="19" width="21.140625" style="4" bestFit="1" customWidth="1"/>
    <col min="20" max="20" width="13.140625" bestFit="1" customWidth="1"/>
    <col min="21" max="21" width="17.140625" style="4" bestFit="1" customWidth="1"/>
    <col min="22" max="22" width="19" style="4" bestFit="1" customWidth="1"/>
    <col min="24" max="24" width="9.28515625" bestFit="1" customWidth="1"/>
    <col min="25" max="25" width="11.42578125" bestFit="1" customWidth="1"/>
  </cols>
  <sheetData>
    <row r="1" spans="1:2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9" t="s">
        <v>30</v>
      </c>
      <c r="R1" s="9" t="s">
        <v>31</v>
      </c>
      <c r="S1" s="11" t="s">
        <v>29</v>
      </c>
      <c r="T1" s="8" t="s">
        <v>35</v>
      </c>
      <c r="U1" s="11" t="s">
        <v>37</v>
      </c>
      <c r="V1" s="12" t="s">
        <v>38</v>
      </c>
      <c r="X1" s="15" t="s">
        <v>36</v>
      </c>
      <c r="Y1" s="4">
        <v>160000</v>
      </c>
    </row>
    <row r="2" spans="1:25" x14ac:dyDescent="0.25">
      <c r="A2" s="1">
        <v>14</v>
      </c>
      <c r="B2" s="2">
        <v>44949</v>
      </c>
      <c r="C2">
        <v>0</v>
      </c>
      <c r="D2">
        <v>69498</v>
      </c>
      <c r="E2">
        <v>69945</v>
      </c>
      <c r="F2">
        <v>68921</v>
      </c>
      <c r="G2">
        <v>69799</v>
      </c>
      <c r="H2">
        <v>967899</v>
      </c>
      <c r="I2">
        <v>1266.82</v>
      </c>
      <c r="J2">
        <v>1</v>
      </c>
      <c r="K2">
        <v>1</v>
      </c>
      <c r="L2">
        <v>428</v>
      </c>
      <c r="M2">
        <v>857</v>
      </c>
      <c r="N2">
        <v>327</v>
      </c>
      <c r="O2">
        <v>0</v>
      </c>
      <c r="P2">
        <v>327</v>
      </c>
      <c r="Q2">
        <f>YEAR(B2)</f>
        <v>2023</v>
      </c>
      <c r="R2">
        <f>MONTH(B2)</f>
        <v>1</v>
      </c>
      <c r="S2" s="4">
        <f>P2-10</f>
        <v>317</v>
      </c>
      <c r="T2">
        <f>ROUNDDOWN(Y1*$Y$2/L2,0)</f>
        <v>3</v>
      </c>
      <c r="U2" s="4">
        <f>S2*T2</f>
        <v>951</v>
      </c>
      <c r="V2" s="4">
        <f>Y1+U2</f>
        <v>160951</v>
      </c>
      <c r="X2" s="14" t="s">
        <v>39</v>
      </c>
      <c r="Y2">
        <v>0.01</v>
      </c>
    </row>
    <row r="3" spans="1:25" x14ac:dyDescent="0.25">
      <c r="A3" s="1">
        <v>15</v>
      </c>
      <c r="B3" s="2">
        <v>44950</v>
      </c>
      <c r="C3">
        <v>0</v>
      </c>
      <c r="D3">
        <v>69790</v>
      </c>
      <c r="E3">
        <v>69791</v>
      </c>
      <c r="F3">
        <v>69364</v>
      </c>
      <c r="G3">
        <v>69570</v>
      </c>
      <c r="H3">
        <v>658238</v>
      </c>
      <c r="I3">
        <v>1207.4100000000001</v>
      </c>
      <c r="J3">
        <v>0</v>
      </c>
      <c r="K3">
        <v>1</v>
      </c>
      <c r="L3">
        <v>422</v>
      </c>
      <c r="M3">
        <v>845</v>
      </c>
      <c r="N3">
        <v>-233</v>
      </c>
      <c r="O3">
        <v>0</v>
      </c>
      <c r="P3">
        <v>-233</v>
      </c>
      <c r="Q3">
        <f t="shared" ref="Q3:Q66" si="0">YEAR(B3)</f>
        <v>2023</v>
      </c>
      <c r="R3">
        <f t="shared" ref="R3:R66" si="1">MONTH(B3)</f>
        <v>1</v>
      </c>
      <c r="S3" s="4">
        <f t="shared" ref="S3:S66" si="2">P3-10</f>
        <v>-243</v>
      </c>
      <c r="T3">
        <f>ROUNDDOWN(V2*$Y$2/L3,0)</f>
        <v>3</v>
      </c>
      <c r="U3" s="4">
        <f t="shared" ref="U3:U66" si="3">S3*T3</f>
        <v>-729</v>
      </c>
      <c r="V3" s="4">
        <f>V2+U3</f>
        <v>160222</v>
      </c>
      <c r="X3" s="14" t="s">
        <v>41</v>
      </c>
      <c r="Y3" s="7">
        <f>COUNTIF(U:U,"&gt;0")/(COUNTA(U:U)-1)</f>
        <v>0.70465116279069773</v>
      </c>
    </row>
    <row r="4" spans="1:25" x14ac:dyDescent="0.25">
      <c r="A4" s="1">
        <v>16</v>
      </c>
      <c r="B4" s="2">
        <v>44951</v>
      </c>
      <c r="C4">
        <v>0</v>
      </c>
      <c r="D4">
        <v>69570</v>
      </c>
      <c r="E4">
        <v>69987</v>
      </c>
      <c r="F4">
        <v>69421</v>
      </c>
      <c r="G4">
        <v>69857</v>
      </c>
      <c r="H4">
        <v>767748</v>
      </c>
      <c r="I4">
        <v>1161.5899999999999</v>
      </c>
      <c r="J4">
        <v>1</v>
      </c>
      <c r="K4">
        <v>0</v>
      </c>
      <c r="L4">
        <v>402</v>
      </c>
      <c r="M4">
        <v>805</v>
      </c>
      <c r="N4">
        <v>0</v>
      </c>
      <c r="O4">
        <v>-230</v>
      </c>
      <c r="P4">
        <v>-230</v>
      </c>
      <c r="Q4">
        <f t="shared" si="0"/>
        <v>2023</v>
      </c>
      <c r="R4">
        <f t="shared" si="1"/>
        <v>1</v>
      </c>
      <c r="S4" s="4">
        <f t="shared" si="2"/>
        <v>-240</v>
      </c>
      <c r="T4">
        <f t="shared" ref="T4:T67" si="4">ROUNDDOWN(V3*$Y$2/L4,0)</f>
        <v>3</v>
      </c>
      <c r="U4" s="4">
        <f t="shared" si="3"/>
        <v>-720</v>
      </c>
      <c r="V4" s="4">
        <f t="shared" ref="V4:V67" si="5">V3+U4</f>
        <v>159502</v>
      </c>
    </row>
    <row r="5" spans="1:25" x14ac:dyDescent="0.25">
      <c r="A5" s="1">
        <v>17</v>
      </c>
      <c r="B5" s="2">
        <v>44952</v>
      </c>
      <c r="C5">
        <v>0</v>
      </c>
      <c r="D5">
        <v>69857</v>
      </c>
      <c r="E5">
        <v>70266</v>
      </c>
      <c r="F5">
        <v>69276</v>
      </c>
      <c r="G5">
        <v>69670</v>
      </c>
      <c r="H5">
        <v>1189573</v>
      </c>
      <c r="I5">
        <v>1149.33</v>
      </c>
      <c r="J5">
        <v>0</v>
      </c>
      <c r="K5">
        <v>1</v>
      </c>
      <c r="L5">
        <v>387</v>
      </c>
      <c r="M5">
        <v>774</v>
      </c>
      <c r="N5">
        <v>-242</v>
      </c>
      <c r="O5">
        <v>0</v>
      </c>
      <c r="P5">
        <v>-242</v>
      </c>
      <c r="Q5">
        <f t="shared" si="0"/>
        <v>2023</v>
      </c>
      <c r="R5">
        <f t="shared" si="1"/>
        <v>1</v>
      </c>
      <c r="S5" s="4">
        <f t="shared" si="2"/>
        <v>-252</v>
      </c>
      <c r="T5">
        <f t="shared" si="4"/>
        <v>4</v>
      </c>
      <c r="U5" s="4">
        <f t="shared" si="3"/>
        <v>-1008</v>
      </c>
      <c r="V5" s="4">
        <f t="shared" si="5"/>
        <v>158494</v>
      </c>
    </row>
    <row r="6" spans="1:25" x14ac:dyDescent="0.25">
      <c r="A6" s="1">
        <v>18</v>
      </c>
      <c r="B6" s="2">
        <v>44953</v>
      </c>
      <c r="C6">
        <v>0</v>
      </c>
      <c r="D6">
        <v>69675</v>
      </c>
      <c r="E6">
        <v>70175</v>
      </c>
      <c r="F6">
        <v>69649</v>
      </c>
      <c r="G6">
        <v>70050</v>
      </c>
      <c r="H6">
        <v>821428</v>
      </c>
      <c r="I6">
        <v>1104.81</v>
      </c>
      <c r="J6">
        <v>1</v>
      </c>
      <c r="K6">
        <v>0</v>
      </c>
      <c r="L6">
        <v>383</v>
      </c>
      <c r="M6">
        <v>766</v>
      </c>
      <c r="N6">
        <v>0</v>
      </c>
      <c r="O6">
        <v>-382</v>
      </c>
      <c r="P6">
        <v>-382</v>
      </c>
      <c r="Q6">
        <f t="shared" si="0"/>
        <v>2023</v>
      </c>
      <c r="R6">
        <f t="shared" si="1"/>
        <v>1</v>
      </c>
      <c r="S6" s="4">
        <f t="shared" si="2"/>
        <v>-392</v>
      </c>
      <c r="T6">
        <f t="shared" si="4"/>
        <v>4</v>
      </c>
      <c r="U6" s="4">
        <f t="shared" si="3"/>
        <v>-1568</v>
      </c>
      <c r="V6" s="4">
        <f t="shared" si="5"/>
        <v>156926</v>
      </c>
    </row>
    <row r="7" spans="1:25" x14ac:dyDescent="0.25">
      <c r="A7" s="1">
        <v>19</v>
      </c>
      <c r="B7" s="2">
        <v>44956</v>
      </c>
      <c r="C7">
        <v>0</v>
      </c>
      <c r="D7">
        <v>70069</v>
      </c>
      <c r="E7">
        <v>71320</v>
      </c>
      <c r="F7">
        <v>69911</v>
      </c>
      <c r="G7">
        <v>71304</v>
      </c>
      <c r="H7">
        <v>898051</v>
      </c>
      <c r="I7">
        <v>1126.54</v>
      </c>
      <c r="J7">
        <v>1</v>
      </c>
      <c r="K7">
        <v>1</v>
      </c>
      <c r="L7">
        <v>368</v>
      </c>
      <c r="M7">
        <v>737</v>
      </c>
      <c r="N7">
        <v>737</v>
      </c>
      <c r="O7">
        <v>0</v>
      </c>
      <c r="P7">
        <v>737</v>
      </c>
      <c r="Q7">
        <f t="shared" si="0"/>
        <v>2023</v>
      </c>
      <c r="R7">
        <f t="shared" si="1"/>
        <v>1</v>
      </c>
      <c r="S7" s="4">
        <f t="shared" si="2"/>
        <v>727</v>
      </c>
      <c r="T7">
        <f t="shared" si="4"/>
        <v>4</v>
      </c>
      <c r="U7" s="4">
        <f t="shared" si="3"/>
        <v>2908</v>
      </c>
      <c r="V7" s="4">
        <f t="shared" si="5"/>
        <v>159834</v>
      </c>
    </row>
    <row r="8" spans="1:25" x14ac:dyDescent="0.25">
      <c r="A8" s="1">
        <v>20</v>
      </c>
      <c r="B8" s="2">
        <v>44957</v>
      </c>
      <c r="C8">
        <v>0</v>
      </c>
      <c r="D8">
        <v>71314</v>
      </c>
      <c r="E8">
        <v>71525</v>
      </c>
      <c r="F8">
        <v>70555</v>
      </c>
      <c r="G8">
        <v>70597</v>
      </c>
      <c r="H8">
        <v>1274234</v>
      </c>
      <c r="I8">
        <v>1115.3599999999999</v>
      </c>
      <c r="J8">
        <v>0</v>
      </c>
      <c r="K8">
        <v>1</v>
      </c>
      <c r="L8">
        <v>376</v>
      </c>
      <c r="M8">
        <v>751</v>
      </c>
      <c r="N8">
        <v>376</v>
      </c>
      <c r="O8">
        <v>0</v>
      </c>
      <c r="P8">
        <v>376</v>
      </c>
      <c r="Q8">
        <f t="shared" si="0"/>
        <v>2023</v>
      </c>
      <c r="R8">
        <f t="shared" si="1"/>
        <v>1</v>
      </c>
      <c r="S8" s="4">
        <f t="shared" si="2"/>
        <v>366</v>
      </c>
      <c r="T8">
        <f t="shared" si="4"/>
        <v>4</v>
      </c>
      <c r="U8" s="4">
        <f t="shared" si="3"/>
        <v>1464</v>
      </c>
      <c r="V8" s="4">
        <f t="shared" si="5"/>
        <v>161298</v>
      </c>
    </row>
    <row r="9" spans="1:25" x14ac:dyDescent="0.25">
      <c r="A9" s="1">
        <v>21</v>
      </c>
      <c r="B9" s="2">
        <v>44958</v>
      </c>
      <c r="C9">
        <v>0</v>
      </c>
      <c r="D9">
        <v>70599</v>
      </c>
      <c r="E9">
        <v>71103</v>
      </c>
      <c r="F9">
        <v>70505</v>
      </c>
      <c r="G9">
        <v>70610</v>
      </c>
      <c r="H9">
        <v>781263</v>
      </c>
      <c r="I9">
        <v>1078.4000000000001</v>
      </c>
      <c r="J9">
        <v>1</v>
      </c>
      <c r="K9">
        <v>0</v>
      </c>
      <c r="L9">
        <v>372</v>
      </c>
      <c r="M9">
        <v>744</v>
      </c>
      <c r="N9">
        <v>0</v>
      </c>
      <c r="O9">
        <v>-109</v>
      </c>
      <c r="P9">
        <v>-109</v>
      </c>
      <c r="Q9">
        <f t="shared" si="0"/>
        <v>2023</v>
      </c>
      <c r="R9">
        <f t="shared" si="1"/>
        <v>2</v>
      </c>
      <c r="S9" s="4">
        <f t="shared" si="2"/>
        <v>-119</v>
      </c>
      <c r="T9">
        <f t="shared" si="4"/>
        <v>4</v>
      </c>
      <c r="U9" s="4">
        <f t="shared" si="3"/>
        <v>-476</v>
      </c>
      <c r="V9" s="4">
        <f t="shared" si="5"/>
        <v>160822</v>
      </c>
    </row>
    <row r="10" spans="1:25" x14ac:dyDescent="0.25">
      <c r="A10" s="1">
        <v>22</v>
      </c>
      <c r="B10" s="2">
        <v>44959</v>
      </c>
      <c r="C10">
        <v>0</v>
      </c>
      <c r="D10">
        <v>70620</v>
      </c>
      <c r="E10">
        <v>71293</v>
      </c>
      <c r="F10">
        <v>70383</v>
      </c>
      <c r="G10">
        <v>70973</v>
      </c>
      <c r="H10">
        <v>849914</v>
      </c>
      <c r="I10">
        <v>1066.3699999999999</v>
      </c>
      <c r="J10">
        <v>1</v>
      </c>
      <c r="K10">
        <v>1</v>
      </c>
      <c r="L10">
        <v>359</v>
      </c>
      <c r="M10">
        <v>719</v>
      </c>
      <c r="N10">
        <v>234</v>
      </c>
      <c r="O10">
        <v>0</v>
      </c>
      <c r="P10">
        <v>234</v>
      </c>
      <c r="Q10">
        <f t="shared" si="0"/>
        <v>2023</v>
      </c>
      <c r="R10">
        <f t="shared" si="1"/>
        <v>2</v>
      </c>
      <c r="S10" s="4">
        <f t="shared" si="2"/>
        <v>224</v>
      </c>
      <c r="T10">
        <f t="shared" si="4"/>
        <v>4</v>
      </c>
      <c r="U10" s="4">
        <f t="shared" si="3"/>
        <v>896</v>
      </c>
      <c r="V10" s="4">
        <f t="shared" si="5"/>
        <v>161718</v>
      </c>
    </row>
    <row r="11" spans="1:25" x14ac:dyDescent="0.25">
      <c r="A11" s="1">
        <v>23</v>
      </c>
      <c r="B11" s="2">
        <v>44960</v>
      </c>
      <c r="C11">
        <v>0</v>
      </c>
      <c r="D11">
        <v>70974</v>
      </c>
      <c r="E11">
        <v>71563</v>
      </c>
      <c r="F11">
        <v>70907</v>
      </c>
      <c r="G11">
        <v>71312</v>
      </c>
      <c r="H11">
        <v>916534</v>
      </c>
      <c r="I11">
        <v>1037.06</v>
      </c>
      <c r="J11">
        <v>1</v>
      </c>
      <c r="K11">
        <v>1</v>
      </c>
      <c r="L11">
        <v>355</v>
      </c>
      <c r="M11">
        <v>711</v>
      </c>
      <c r="N11">
        <v>356</v>
      </c>
      <c r="O11">
        <v>0</v>
      </c>
      <c r="P11">
        <v>356</v>
      </c>
      <c r="Q11">
        <f t="shared" si="0"/>
        <v>2023</v>
      </c>
      <c r="R11">
        <f t="shared" si="1"/>
        <v>2</v>
      </c>
      <c r="S11" s="4">
        <f t="shared" si="2"/>
        <v>346</v>
      </c>
      <c r="T11">
        <f t="shared" si="4"/>
        <v>4</v>
      </c>
      <c r="U11" s="4">
        <f t="shared" si="3"/>
        <v>1384</v>
      </c>
      <c r="V11" s="4">
        <f t="shared" si="5"/>
        <v>163102</v>
      </c>
    </row>
    <row r="12" spans="1:25" x14ac:dyDescent="0.25">
      <c r="A12" s="1">
        <v>24</v>
      </c>
      <c r="B12" s="2">
        <v>44963</v>
      </c>
      <c r="C12">
        <v>0</v>
      </c>
      <c r="D12">
        <v>71340</v>
      </c>
      <c r="E12">
        <v>71834</v>
      </c>
      <c r="F12">
        <v>71001</v>
      </c>
      <c r="G12">
        <v>71796</v>
      </c>
      <c r="H12">
        <v>638451</v>
      </c>
      <c r="I12">
        <v>1022.49</v>
      </c>
      <c r="J12">
        <v>1</v>
      </c>
      <c r="K12">
        <v>1</v>
      </c>
      <c r="L12">
        <v>346</v>
      </c>
      <c r="M12">
        <v>691</v>
      </c>
      <c r="N12">
        <v>449</v>
      </c>
      <c r="O12">
        <v>0</v>
      </c>
      <c r="P12">
        <v>449</v>
      </c>
      <c r="Q12">
        <f t="shared" si="0"/>
        <v>2023</v>
      </c>
      <c r="R12">
        <f t="shared" si="1"/>
        <v>2</v>
      </c>
      <c r="S12" s="4">
        <f t="shared" si="2"/>
        <v>439</v>
      </c>
      <c r="T12">
        <f t="shared" si="4"/>
        <v>4</v>
      </c>
      <c r="U12" s="4">
        <f t="shared" si="3"/>
        <v>1756</v>
      </c>
      <c r="V12" s="4">
        <f t="shared" si="5"/>
        <v>164858</v>
      </c>
    </row>
    <row r="13" spans="1:25" x14ac:dyDescent="0.25">
      <c r="A13" s="1">
        <v>25</v>
      </c>
      <c r="B13" s="2">
        <v>44964</v>
      </c>
      <c r="C13">
        <v>0</v>
      </c>
      <c r="D13">
        <v>71785</v>
      </c>
      <c r="E13">
        <v>71909</v>
      </c>
      <c r="F13">
        <v>71338</v>
      </c>
      <c r="G13">
        <v>71450</v>
      </c>
      <c r="H13">
        <v>723791</v>
      </c>
      <c r="I13">
        <v>990.24</v>
      </c>
      <c r="J13">
        <v>0</v>
      </c>
      <c r="K13">
        <v>1</v>
      </c>
      <c r="L13">
        <v>341</v>
      </c>
      <c r="M13">
        <v>682</v>
      </c>
      <c r="N13">
        <v>-306</v>
      </c>
      <c r="O13">
        <v>0</v>
      </c>
      <c r="P13">
        <v>-306</v>
      </c>
      <c r="Q13">
        <f t="shared" si="0"/>
        <v>2023</v>
      </c>
      <c r="R13">
        <f t="shared" si="1"/>
        <v>2</v>
      </c>
      <c r="S13" s="4">
        <f t="shared" si="2"/>
        <v>-316</v>
      </c>
      <c r="T13">
        <f t="shared" si="4"/>
        <v>4</v>
      </c>
      <c r="U13" s="4">
        <f t="shared" si="3"/>
        <v>-1264</v>
      </c>
      <c r="V13" s="4">
        <f t="shared" si="5"/>
        <v>163594</v>
      </c>
    </row>
    <row r="14" spans="1:25" x14ac:dyDescent="0.25">
      <c r="A14" s="1">
        <v>26</v>
      </c>
      <c r="B14" s="2">
        <v>44965</v>
      </c>
      <c r="C14">
        <v>0</v>
      </c>
      <c r="D14">
        <v>71466</v>
      </c>
      <c r="E14">
        <v>72778</v>
      </c>
      <c r="F14">
        <v>71466</v>
      </c>
      <c r="G14">
        <v>72750</v>
      </c>
      <c r="H14">
        <v>1147927</v>
      </c>
      <c r="I14">
        <v>1014.36</v>
      </c>
      <c r="J14">
        <v>1</v>
      </c>
      <c r="K14">
        <v>0</v>
      </c>
      <c r="L14">
        <v>330</v>
      </c>
      <c r="M14">
        <v>660</v>
      </c>
      <c r="N14">
        <v>0</v>
      </c>
      <c r="O14">
        <v>330</v>
      </c>
      <c r="P14">
        <v>330</v>
      </c>
      <c r="Q14">
        <f t="shared" si="0"/>
        <v>2023</v>
      </c>
      <c r="R14">
        <f t="shared" si="1"/>
        <v>2</v>
      </c>
      <c r="S14" s="4">
        <f t="shared" si="2"/>
        <v>320</v>
      </c>
      <c r="T14">
        <f t="shared" si="4"/>
        <v>4</v>
      </c>
      <c r="U14" s="4">
        <f t="shared" si="3"/>
        <v>1280</v>
      </c>
      <c r="V14" s="4">
        <f t="shared" si="5"/>
        <v>164874</v>
      </c>
    </row>
    <row r="15" spans="1:25" x14ac:dyDescent="0.25">
      <c r="A15" s="1">
        <v>27</v>
      </c>
      <c r="B15" s="2">
        <v>44966</v>
      </c>
      <c r="C15">
        <v>0</v>
      </c>
      <c r="D15">
        <v>72770</v>
      </c>
      <c r="E15">
        <v>73485</v>
      </c>
      <c r="F15">
        <v>72703</v>
      </c>
      <c r="G15">
        <v>72950</v>
      </c>
      <c r="H15">
        <v>1311020</v>
      </c>
      <c r="I15">
        <v>997.77</v>
      </c>
      <c r="J15">
        <v>1</v>
      </c>
      <c r="K15">
        <v>1</v>
      </c>
      <c r="L15">
        <v>338</v>
      </c>
      <c r="M15">
        <v>676</v>
      </c>
      <c r="N15">
        <v>179</v>
      </c>
      <c r="O15">
        <v>0</v>
      </c>
      <c r="P15">
        <v>179</v>
      </c>
      <c r="Q15">
        <f t="shared" si="0"/>
        <v>2023</v>
      </c>
      <c r="R15">
        <f t="shared" si="1"/>
        <v>2</v>
      </c>
      <c r="S15" s="4">
        <f t="shared" si="2"/>
        <v>169</v>
      </c>
      <c r="T15">
        <f t="shared" si="4"/>
        <v>4</v>
      </c>
      <c r="U15" s="4">
        <f t="shared" si="3"/>
        <v>676</v>
      </c>
      <c r="V15" s="4">
        <f t="shared" si="5"/>
        <v>165550</v>
      </c>
    </row>
    <row r="16" spans="1:25" x14ac:dyDescent="0.25">
      <c r="A16" s="1">
        <v>28</v>
      </c>
      <c r="B16" s="2">
        <v>44967</v>
      </c>
      <c r="C16">
        <v>0</v>
      </c>
      <c r="D16">
        <v>72925</v>
      </c>
      <c r="E16">
        <v>73340</v>
      </c>
      <c r="F16">
        <v>72327</v>
      </c>
      <c r="G16">
        <v>72799</v>
      </c>
      <c r="H16">
        <v>1294437</v>
      </c>
      <c r="I16">
        <v>998.85</v>
      </c>
      <c r="J16">
        <v>0</v>
      </c>
      <c r="K16">
        <v>1</v>
      </c>
      <c r="L16">
        <v>333</v>
      </c>
      <c r="M16">
        <v>665</v>
      </c>
      <c r="N16">
        <v>114</v>
      </c>
      <c r="O16">
        <v>0</v>
      </c>
      <c r="P16">
        <v>114</v>
      </c>
      <c r="Q16">
        <f t="shared" si="0"/>
        <v>2023</v>
      </c>
      <c r="R16">
        <f t="shared" si="1"/>
        <v>2</v>
      </c>
      <c r="S16" s="4">
        <f t="shared" si="2"/>
        <v>104</v>
      </c>
      <c r="T16">
        <f t="shared" si="4"/>
        <v>4</v>
      </c>
      <c r="U16" s="4">
        <f t="shared" si="3"/>
        <v>416</v>
      </c>
      <c r="V16" s="4">
        <f t="shared" si="5"/>
        <v>165966</v>
      </c>
    </row>
    <row r="17" spans="1:22" x14ac:dyDescent="0.25">
      <c r="A17" s="1">
        <v>29</v>
      </c>
      <c r="B17" s="2">
        <v>44970</v>
      </c>
      <c r="C17">
        <v>0</v>
      </c>
      <c r="D17">
        <v>72821</v>
      </c>
      <c r="E17">
        <v>73400</v>
      </c>
      <c r="F17">
        <v>72776</v>
      </c>
      <c r="G17">
        <v>73094</v>
      </c>
      <c r="H17">
        <v>1027257</v>
      </c>
      <c r="I17">
        <v>972.08</v>
      </c>
      <c r="J17">
        <v>1</v>
      </c>
      <c r="K17">
        <v>0</v>
      </c>
      <c r="L17">
        <v>333</v>
      </c>
      <c r="M17">
        <v>666</v>
      </c>
      <c r="N17">
        <v>0</v>
      </c>
      <c r="O17">
        <v>-260</v>
      </c>
      <c r="P17">
        <v>-260</v>
      </c>
      <c r="Q17">
        <f t="shared" si="0"/>
        <v>2023</v>
      </c>
      <c r="R17">
        <f t="shared" si="1"/>
        <v>2</v>
      </c>
      <c r="S17" s="4">
        <f t="shared" si="2"/>
        <v>-270</v>
      </c>
      <c r="T17">
        <f t="shared" si="4"/>
        <v>4</v>
      </c>
      <c r="U17" s="4">
        <f t="shared" si="3"/>
        <v>-1080</v>
      </c>
      <c r="V17" s="4">
        <f t="shared" si="5"/>
        <v>164886</v>
      </c>
    </row>
    <row r="18" spans="1:22" x14ac:dyDescent="0.25">
      <c r="A18" s="1">
        <v>30</v>
      </c>
      <c r="B18" s="2">
        <v>44971</v>
      </c>
      <c r="C18">
        <v>0</v>
      </c>
      <c r="D18">
        <v>73119</v>
      </c>
      <c r="E18">
        <v>73467</v>
      </c>
      <c r="F18">
        <v>72077</v>
      </c>
      <c r="G18">
        <v>72850</v>
      </c>
      <c r="H18">
        <v>1276179</v>
      </c>
      <c r="I18">
        <v>1001.93</v>
      </c>
      <c r="J18">
        <v>0</v>
      </c>
      <c r="K18">
        <v>1</v>
      </c>
      <c r="L18">
        <v>324</v>
      </c>
      <c r="M18">
        <v>648</v>
      </c>
      <c r="N18">
        <v>-309</v>
      </c>
      <c r="O18">
        <v>0</v>
      </c>
      <c r="P18">
        <v>-309</v>
      </c>
      <c r="Q18">
        <f t="shared" si="0"/>
        <v>2023</v>
      </c>
      <c r="R18">
        <f t="shared" si="1"/>
        <v>2</v>
      </c>
      <c r="S18" s="4">
        <f t="shared" si="2"/>
        <v>-319</v>
      </c>
      <c r="T18">
        <f t="shared" si="4"/>
        <v>5</v>
      </c>
      <c r="U18" s="4">
        <f t="shared" si="3"/>
        <v>-1595</v>
      </c>
      <c r="V18" s="4">
        <f t="shared" si="5"/>
        <v>163291</v>
      </c>
    </row>
    <row r="19" spans="1:22" x14ac:dyDescent="0.25">
      <c r="A19" s="1">
        <v>31</v>
      </c>
      <c r="B19" s="2">
        <v>44972</v>
      </c>
      <c r="C19">
        <v>0</v>
      </c>
      <c r="D19">
        <v>72891</v>
      </c>
      <c r="E19">
        <v>73716</v>
      </c>
      <c r="F19">
        <v>72824</v>
      </c>
      <c r="G19">
        <v>73510</v>
      </c>
      <c r="H19">
        <v>1221564</v>
      </c>
      <c r="I19">
        <v>994.08</v>
      </c>
      <c r="J19">
        <v>1</v>
      </c>
      <c r="K19">
        <v>0</v>
      </c>
      <c r="L19">
        <v>334</v>
      </c>
      <c r="M19">
        <v>668</v>
      </c>
      <c r="N19">
        <v>0</v>
      </c>
      <c r="O19">
        <v>-593</v>
      </c>
      <c r="P19">
        <v>-593</v>
      </c>
      <c r="Q19">
        <f t="shared" si="0"/>
        <v>2023</v>
      </c>
      <c r="R19">
        <f t="shared" si="1"/>
        <v>2</v>
      </c>
      <c r="S19" s="4">
        <f t="shared" si="2"/>
        <v>-603</v>
      </c>
      <c r="T19">
        <f t="shared" si="4"/>
        <v>4</v>
      </c>
      <c r="U19" s="4">
        <f t="shared" si="3"/>
        <v>-2412</v>
      </c>
      <c r="V19" s="4">
        <f t="shared" si="5"/>
        <v>160879</v>
      </c>
    </row>
    <row r="20" spans="1:22" x14ac:dyDescent="0.25">
      <c r="A20" s="1">
        <v>32</v>
      </c>
      <c r="B20" s="2">
        <v>44973</v>
      </c>
      <c r="C20">
        <v>0</v>
      </c>
      <c r="D20">
        <v>73510</v>
      </c>
      <c r="E20">
        <v>74674</v>
      </c>
      <c r="F20">
        <v>73433</v>
      </c>
      <c r="G20">
        <v>74200</v>
      </c>
      <c r="H20">
        <v>1471773</v>
      </c>
      <c r="I20">
        <v>1011.72</v>
      </c>
      <c r="J20">
        <v>1</v>
      </c>
      <c r="K20">
        <v>1</v>
      </c>
      <c r="L20">
        <v>331</v>
      </c>
      <c r="M20">
        <v>663</v>
      </c>
      <c r="N20">
        <v>663</v>
      </c>
      <c r="O20">
        <v>0</v>
      </c>
      <c r="P20">
        <v>663</v>
      </c>
      <c r="Q20">
        <f t="shared" si="0"/>
        <v>2023</v>
      </c>
      <c r="R20">
        <f t="shared" si="1"/>
        <v>2</v>
      </c>
      <c r="S20" s="4">
        <f t="shared" si="2"/>
        <v>653</v>
      </c>
      <c r="T20">
        <f t="shared" si="4"/>
        <v>4</v>
      </c>
      <c r="U20" s="4">
        <f t="shared" si="3"/>
        <v>2612</v>
      </c>
      <c r="V20" s="4">
        <f t="shared" si="5"/>
        <v>163491</v>
      </c>
    </row>
    <row r="21" spans="1:22" x14ac:dyDescent="0.25">
      <c r="A21" s="1">
        <v>33</v>
      </c>
      <c r="B21" s="2">
        <v>44974</v>
      </c>
      <c r="C21">
        <v>0</v>
      </c>
      <c r="D21">
        <v>74200</v>
      </c>
      <c r="E21">
        <v>74567</v>
      </c>
      <c r="F21">
        <v>73050</v>
      </c>
      <c r="G21">
        <v>73118</v>
      </c>
      <c r="H21">
        <v>2143419</v>
      </c>
      <c r="I21">
        <v>1047.81</v>
      </c>
      <c r="J21">
        <v>0</v>
      </c>
      <c r="K21">
        <v>1</v>
      </c>
      <c r="L21">
        <v>337</v>
      </c>
      <c r="M21">
        <v>674</v>
      </c>
      <c r="N21">
        <v>337</v>
      </c>
      <c r="O21">
        <v>0</v>
      </c>
      <c r="P21">
        <v>337</v>
      </c>
      <c r="Q21">
        <f t="shared" si="0"/>
        <v>2023</v>
      </c>
      <c r="R21">
        <f t="shared" si="1"/>
        <v>2</v>
      </c>
      <c r="S21" s="4">
        <f t="shared" si="2"/>
        <v>327</v>
      </c>
      <c r="T21">
        <f t="shared" si="4"/>
        <v>4</v>
      </c>
      <c r="U21" s="4">
        <f t="shared" si="3"/>
        <v>1308</v>
      </c>
      <c r="V21" s="4">
        <f t="shared" si="5"/>
        <v>164799</v>
      </c>
    </row>
    <row r="22" spans="1:22" x14ac:dyDescent="0.25">
      <c r="A22" s="1">
        <v>34</v>
      </c>
      <c r="B22" s="2">
        <v>44977</v>
      </c>
      <c r="C22">
        <v>0</v>
      </c>
      <c r="D22">
        <v>73075</v>
      </c>
      <c r="E22">
        <v>74328</v>
      </c>
      <c r="F22">
        <v>72560</v>
      </c>
      <c r="G22">
        <v>74221</v>
      </c>
      <c r="H22">
        <v>1274366</v>
      </c>
      <c r="I22">
        <v>1099.25</v>
      </c>
      <c r="J22">
        <v>1</v>
      </c>
      <c r="K22">
        <v>0</v>
      </c>
      <c r="L22">
        <v>349</v>
      </c>
      <c r="M22">
        <v>699</v>
      </c>
      <c r="N22">
        <v>0</v>
      </c>
      <c r="O22">
        <v>349</v>
      </c>
      <c r="P22">
        <v>349</v>
      </c>
      <c r="Q22">
        <f t="shared" si="0"/>
        <v>2023</v>
      </c>
      <c r="R22">
        <f t="shared" si="1"/>
        <v>2</v>
      </c>
      <c r="S22" s="4">
        <f t="shared" si="2"/>
        <v>339</v>
      </c>
      <c r="T22">
        <f t="shared" si="4"/>
        <v>4</v>
      </c>
      <c r="U22" s="4">
        <f t="shared" si="3"/>
        <v>1356</v>
      </c>
      <c r="V22" s="4">
        <f t="shared" si="5"/>
        <v>166155</v>
      </c>
    </row>
    <row r="23" spans="1:22" x14ac:dyDescent="0.25">
      <c r="A23" s="1">
        <v>35</v>
      </c>
      <c r="B23" s="2">
        <v>44978</v>
      </c>
      <c r="C23">
        <v>0</v>
      </c>
      <c r="D23">
        <v>74212</v>
      </c>
      <c r="E23">
        <v>74459</v>
      </c>
      <c r="F23">
        <v>73400</v>
      </c>
      <c r="G23">
        <v>74181</v>
      </c>
      <c r="H23">
        <v>1147529</v>
      </c>
      <c r="I23">
        <v>1096.3699999999999</v>
      </c>
      <c r="J23">
        <v>0</v>
      </c>
      <c r="K23">
        <v>1</v>
      </c>
      <c r="L23">
        <v>366</v>
      </c>
      <c r="M23">
        <v>733</v>
      </c>
      <c r="N23">
        <v>-104</v>
      </c>
      <c r="O23">
        <v>0</v>
      </c>
      <c r="P23">
        <v>-104</v>
      </c>
      <c r="Q23">
        <f t="shared" si="0"/>
        <v>2023</v>
      </c>
      <c r="R23">
        <f t="shared" si="1"/>
        <v>2</v>
      </c>
      <c r="S23" s="4">
        <f t="shared" si="2"/>
        <v>-114</v>
      </c>
      <c r="T23">
        <f t="shared" si="4"/>
        <v>4</v>
      </c>
      <c r="U23" s="4">
        <f t="shared" si="3"/>
        <v>-456</v>
      </c>
      <c r="V23" s="4">
        <f t="shared" si="5"/>
        <v>165699</v>
      </c>
    </row>
    <row r="24" spans="1:22" x14ac:dyDescent="0.25">
      <c r="A24" s="1">
        <v>36</v>
      </c>
      <c r="B24" s="2">
        <v>44979</v>
      </c>
      <c r="C24">
        <v>0</v>
      </c>
      <c r="D24">
        <v>74181</v>
      </c>
      <c r="E24">
        <v>74777</v>
      </c>
      <c r="F24">
        <v>73686</v>
      </c>
      <c r="G24">
        <v>74636</v>
      </c>
      <c r="H24">
        <v>921377</v>
      </c>
      <c r="I24">
        <v>1095.99</v>
      </c>
      <c r="J24">
        <v>1</v>
      </c>
      <c r="K24">
        <v>0</v>
      </c>
      <c r="L24">
        <v>365</v>
      </c>
      <c r="M24">
        <v>731</v>
      </c>
      <c r="N24">
        <v>0</v>
      </c>
      <c r="O24">
        <v>-461</v>
      </c>
      <c r="P24">
        <v>-461</v>
      </c>
      <c r="Q24">
        <f t="shared" si="0"/>
        <v>2023</v>
      </c>
      <c r="R24">
        <f t="shared" si="1"/>
        <v>2</v>
      </c>
      <c r="S24" s="4">
        <f t="shared" si="2"/>
        <v>-471</v>
      </c>
      <c r="T24">
        <f t="shared" si="4"/>
        <v>4</v>
      </c>
      <c r="U24" s="4">
        <f t="shared" si="3"/>
        <v>-1884</v>
      </c>
      <c r="V24" s="4">
        <f t="shared" si="5"/>
        <v>163815</v>
      </c>
    </row>
    <row r="25" spans="1:22" x14ac:dyDescent="0.25">
      <c r="A25" s="1">
        <v>37</v>
      </c>
      <c r="B25" s="2">
        <v>44981</v>
      </c>
      <c r="C25">
        <v>0</v>
      </c>
      <c r="D25">
        <v>74648</v>
      </c>
      <c r="E25">
        <v>75784</v>
      </c>
      <c r="F25">
        <v>73973</v>
      </c>
      <c r="G25">
        <v>75576</v>
      </c>
      <c r="H25">
        <v>1068293</v>
      </c>
      <c r="I25">
        <v>1147.06</v>
      </c>
      <c r="J25">
        <v>1</v>
      </c>
      <c r="K25">
        <v>1</v>
      </c>
      <c r="L25">
        <v>365</v>
      </c>
      <c r="M25">
        <v>731</v>
      </c>
      <c r="N25">
        <v>731</v>
      </c>
      <c r="O25">
        <v>0</v>
      </c>
      <c r="P25">
        <v>731</v>
      </c>
      <c r="Q25">
        <f t="shared" si="0"/>
        <v>2023</v>
      </c>
      <c r="R25">
        <f t="shared" si="1"/>
        <v>2</v>
      </c>
      <c r="S25" s="4">
        <f t="shared" si="2"/>
        <v>721</v>
      </c>
      <c r="T25">
        <f t="shared" si="4"/>
        <v>4</v>
      </c>
      <c r="U25" s="4">
        <f t="shared" si="3"/>
        <v>2884</v>
      </c>
      <c r="V25" s="4">
        <f t="shared" si="5"/>
        <v>166699</v>
      </c>
    </row>
    <row r="26" spans="1:22" x14ac:dyDescent="0.25">
      <c r="A26" s="1">
        <v>38</v>
      </c>
      <c r="B26" s="2">
        <v>44984</v>
      </c>
      <c r="C26">
        <v>0</v>
      </c>
      <c r="D26">
        <v>75525</v>
      </c>
      <c r="E26">
        <v>75525</v>
      </c>
      <c r="F26">
        <v>73511</v>
      </c>
      <c r="G26">
        <v>73626</v>
      </c>
      <c r="H26">
        <v>1396546</v>
      </c>
      <c r="I26">
        <v>1212.6300000000001</v>
      </c>
      <c r="J26">
        <v>0</v>
      </c>
      <c r="K26">
        <v>1</v>
      </c>
      <c r="L26">
        <v>382</v>
      </c>
      <c r="M26">
        <v>765</v>
      </c>
      <c r="N26">
        <v>382</v>
      </c>
      <c r="O26">
        <v>0</v>
      </c>
      <c r="P26">
        <v>382</v>
      </c>
      <c r="Q26">
        <f t="shared" si="0"/>
        <v>2023</v>
      </c>
      <c r="R26">
        <f t="shared" si="1"/>
        <v>2</v>
      </c>
      <c r="S26" s="4">
        <f t="shared" si="2"/>
        <v>372</v>
      </c>
      <c r="T26">
        <f t="shared" si="4"/>
        <v>4</v>
      </c>
      <c r="U26" s="4">
        <f t="shared" si="3"/>
        <v>1488</v>
      </c>
      <c r="V26" s="4">
        <f t="shared" si="5"/>
        <v>168187</v>
      </c>
    </row>
    <row r="27" spans="1:22" x14ac:dyDescent="0.25">
      <c r="A27" s="1">
        <v>39</v>
      </c>
      <c r="B27" s="2">
        <v>44985</v>
      </c>
      <c r="C27">
        <v>0</v>
      </c>
      <c r="D27">
        <v>73610</v>
      </c>
      <c r="E27">
        <v>74364</v>
      </c>
      <c r="F27">
        <v>73161</v>
      </c>
      <c r="G27">
        <v>74226</v>
      </c>
      <c r="H27">
        <v>1337125</v>
      </c>
      <c r="I27">
        <v>1211.94</v>
      </c>
      <c r="J27">
        <v>1</v>
      </c>
      <c r="K27">
        <v>0</v>
      </c>
      <c r="L27">
        <v>404</v>
      </c>
      <c r="M27">
        <v>808</v>
      </c>
      <c r="N27">
        <v>0</v>
      </c>
      <c r="O27">
        <v>-562</v>
      </c>
      <c r="P27">
        <v>-562</v>
      </c>
      <c r="Q27">
        <f t="shared" si="0"/>
        <v>2023</v>
      </c>
      <c r="R27">
        <f t="shared" si="1"/>
        <v>2</v>
      </c>
      <c r="S27" s="4">
        <f t="shared" si="2"/>
        <v>-572</v>
      </c>
      <c r="T27">
        <f t="shared" si="4"/>
        <v>4</v>
      </c>
      <c r="U27" s="4">
        <f t="shared" si="3"/>
        <v>-2288</v>
      </c>
      <c r="V27" s="4">
        <f t="shared" si="5"/>
        <v>165899</v>
      </c>
    </row>
    <row r="28" spans="1:22" x14ac:dyDescent="0.25">
      <c r="A28" s="1">
        <v>40</v>
      </c>
      <c r="B28" s="2">
        <v>44986</v>
      </c>
      <c r="C28">
        <v>0</v>
      </c>
      <c r="D28">
        <v>74243</v>
      </c>
      <c r="E28">
        <v>74810</v>
      </c>
      <c r="F28">
        <v>74119</v>
      </c>
      <c r="G28">
        <v>74690</v>
      </c>
      <c r="H28">
        <v>1194562</v>
      </c>
      <c r="I28">
        <v>1174.73</v>
      </c>
      <c r="J28">
        <v>1</v>
      </c>
      <c r="K28">
        <v>1</v>
      </c>
      <c r="L28">
        <v>404</v>
      </c>
      <c r="M28">
        <v>808</v>
      </c>
      <c r="N28">
        <v>474</v>
      </c>
      <c r="O28">
        <v>0</v>
      </c>
      <c r="P28">
        <v>474</v>
      </c>
      <c r="Q28">
        <f t="shared" si="0"/>
        <v>2023</v>
      </c>
      <c r="R28">
        <f t="shared" si="1"/>
        <v>3</v>
      </c>
      <c r="S28" s="4">
        <f t="shared" si="2"/>
        <v>464</v>
      </c>
      <c r="T28">
        <f t="shared" si="4"/>
        <v>4</v>
      </c>
      <c r="U28" s="4">
        <f t="shared" si="3"/>
        <v>1856</v>
      </c>
      <c r="V28" s="4">
        <f t="shared" si="5"/>
        <v>167755</v>
      </c>
    </row>
    <row r="29" spans="1:22" x14ac:dyDescent="0.25">
      <c r="A29" s="1">
        <v>41</v>
      </c>
      <c r="B29" s="2">
        <v>44987</v>
      </c>
      <c r="C29">
        <v>0</v>
      </c>
      <c r="D29">
        <v>74728</v>
      </c>
      <c r="E29">
        <v>75414</v>
      </c>
      <c r="F29">
        <v>74728</v>
      </c>
      <c r="G29">
        <v>75093</v>
      </c>
      <c r="H29">
        <v>911429</v>
      </c>
      <c r="I29">
        <v>1142.54</v>
      </c>
      <c r="J29">
        <v>1</v>
      </c>
      <c r="K29">
        <v>1</v>
      </c>
      <c r="L29">
        <v>392</v>
      </c>
      <c r="M29">
        <v>783</v>
      </c>
      <c r="N29">
        <v>202</v>
      </c>
      <c r="O29">
        <v>0</v>
      </c>
      <c r="P29">
        <v>202</v>
      </c>
      <c r="Q29">
        <f t="shared" si="0"/>
        <v>2023</v>
      </c>
      <c r="R29">
        <f t="shared" si="1"/>
        <v>3</v>
      </c>
      <c r="S29" s="4">
        <f t="shared" si="2"/>
        <v>192</v>
      </c>
      <c r="T29">
        <f t="shared" si="4"/>
        <v>4</v>
      </c>
      <c r="U29" s="4">
        <f t="shared" si="3"/>
        <v>768</v>
      </c>
      <c r="V29" s="4">
        <f t="shared" si="5"/>
        <v>168523</v>
      </c>
    </row>
    <row r="30" spans="1:22" x14ac:dyDescent="0.25">
      <c r="A30" s="1">
        <v>42</v>
      </c>
      <c r="B30" s="2">
        <v>44988</v>
      </c>
      <c r="C30">
        <v>0</v>
      </c>
      <c r="D30">
        <v>75094</v>
      </c>
      <c r="E30">
        <v>75380</v>
      </c>
      <c r="F30">
        <v>74614</v>
      </c>
      <c r="G30">
        <v>75209</v>
      </c>
      <c r="H30">
        <v>878501</v>
      </c>
      <c r="I30">
        <v>1115.6400000000001</v>
      </c>
      <c r="J30">
        <v>1</v>
      </c>
      <c r="K30">
        <v>1</v>
      </c>
      <c r="L30">
        <v>381</v>
      </c>
      <c r="M30">
        <v>762</v>
      </c>
      <c r="N30">
        <v>184</v>
      </c>
      <c r="O30">
        <v>0</v>
      </c>
      <c r="P30">
        <v>184</v>
      </c>
      <c r="Q30">
        <f t="shared" si="0"/>
        <v>2023</v>
      </c>
      <c r="R30">
        <f t="shared" si="1"/>
        <v>3</v>
      </c>
      <c r="S30" s="4">
        <f t="shared" si="2"/>
        <v>174</v>
      </c>
      <c r="T30">
        <f t="shared" si="4"/>
        <v>4</v>
      </c>
      <c r="U30" s="4">
        <f t="shared" si="3"/>
        <v>696</v>
      </c>
      <c r="V30" s="4">
        <f t="shared" si="5"/>
        <v>169219</v>
      </c>
    </row>
    <row r="31" spans="1:22" x14ac:dyDescent="0.25">
      <c r="A31" s="1">
        <v>43</v>
      </c>
      <c r="B31" s="2">
        <v>44991</v>
      </c>
      <c r="C31">
        <v>0</v>
      </c>
      <c r="D31">
        <v>75220</v>
      </c>
      <c r="E31">
        <v>75635</v>
      </c>
      <c r="F31">
        <v>74731</v>
      </c>
      <c r="G31">
        <v>75084</v>
      </c>
      <c r="H31">
        <v>1038241</v>
      </c>
      <c r="I31">
        <v>1100.52</v>
      </c>
      <c r="J31">
        <v>0</v>
      </c>
      <c r="K31">
        <v>1</v>
      </c>
      <c r="L31">
        <v>372</v>
      </c>
      <c r="M31">
        <v>744</v>
      </c>
      <c r="N31">
        <v>-95</v>
      </c>
      <c r="O31">
        <v>0</v>
      </c>
      <c r="P31">
        <v>-95</v>
      </c>
      <c r="Q31">
        <f t="shared" si="0"/>
        <v>2023</v>
      </c>
      <c r="R31">
        <f t="shared" si="1"/>
        <v>3</v>
      </c>
      <c r="S31" s="4">
        <f t="shared" si="2"/>
        <v>-105</v>
      </c>
      <c r="T31">
        <f t="shared" si="4"/>
        <v>4</v>
      </c>
      <c r="U31" s="4">
        <f t="shared" si="3"/>
        <v>-420</v>
      </c>
      <c r="V31" s="4">
        <f t="shared" si="5"/>
        <v>168799</v>
      </c>
    </row>
    <row r="32" spans="1:22" x14ac:dyDescent="0.25">
      <c r="A32" s="1">
        <v>44</v>
      </c>
      <c r="B32" s="2">
        <v>44992</v>
      </c>
      <c r="C32">
        <v>0</v>
      </c>
      <c r="D32">
        <v>75084</v>
      </c>
      <c r="E32">
        <v>75990</v>
      </c>
      <c r="F32">
        <v>74808</v>
      </c>
      <c r="G32">
        <v>75830</v>
      </c>
      <c r="H32">
        <v>888399</v>
      </c>
      <c r="I32">
        <v>1106.3399999999999</v>
      </c>
      <c r="J32">
        <v>1</v>
      </c>
      <c r="K32">
        <v>0</v>
      </c>
      <c r="L32">
        <v>367</v>
      </c>
      <c r="M32">
        <v>734</v>
      </c>
      <c r="N32">
        <v>0</v>
      </c>
      <c r="O32">
        <v>367</v>
      </c>
      <c r="P32">
        <v>367</v>
      </c>
      <c r="Q32">
        <f t="shared" si="0"/>
        <v>2023</v>
      </c>
      <c r="R32">
        <f t="shared" si="1"/>
        <v>3</v>
      </c>
      <c r="S32" s="4">
        <f t="shared" si="2"/>
        <v>357</v>
      </c>
      <c r="T32">
        <f t="shared" si="4"/>
        <v>4</v>
      </c>
      <c r="U32" s="4">
        <f t="shared" si="3"/>
        <v>1428</v>
      </c>
      <c r="V32" s="4">
        <f t="shared" si="5"/>
        <v>170227</v>
      </c>
    </row>
    <row r="33" spans="1:22" x14ac:dyDescent="0.25">
      <c r="A33" s="1">
        <v>45</v>
      </c>
      <c r="B33" s="2">
        <v>44994</v>
      </c>
      <c r="C33">
        <v>0</v>
      </c>
      <c r="D33">
        <v>75831</v>
      </c>
      <c r="E33">
        <v>75902</v>
      </c>
      <c r="F33">
        <v>75451</v>
      </c>
      <c r="G33">
        <v>75720</v>
      </c>
      <c r="H33">
        <v>787038</v>
      </c>
      <c r="I33">
        <v>1059.53</v>
      </c>
      <c r="J33">
        <v>0</v>
      </c>
      <c r="K33">
        <v>1</v>
      </c>
      <c r="L33">
        <v>369</v>
      </c>
      <c r="M33">
        <v>738</v>
      </c>
      <c r="N33">
        <v>-137</v>
      </c>
      <c r="O33">
        <v>0</v>
      </c>
      <c r="P33">
        <v>-137</v>
      </c>
      <c r="Q33">
        <f t="shared" si="0"/>
        <v>2023</v>
      </c>
      <c r="R33">
        <f t="shared" si="1"/>
        <v>3</v>
      </c>
      <c r="S33" s="4">
        <f t="shared" si="2"/>
        <v>-147</v>
      </c>
      <c r="T33">
        <f t="shared" si="4"/>
        <v>4</v>
      </c>
      <c r="U33" s="4">
        <f t="shared" si="3"/>
        <v>-588</v>
      </c>
      <c r="V33" s="4">
        <f t="shared" si="5"/>
        <v>169639</v>
      </c>
    </row>
    <row r="34" spans="1:22" x14ac:dyDescent="0.25">
      <c r="A34" s="1">
        <v>46</v>
      </c>
      <c r="B34" s="2">
        <v>44995</v>
      </c>
      <c r="C34">
        <v>0</v>
      </c>
      <c r="D34">
        <v>75711</v>
      </c>
      <c r="E34">
        <v>76098</v>
      </c>
      <c r="F34">
        <v>75711</v>
      </c>
      <c r="G34">
        <v>76000</v>
      </c>
      <c r="H34">
        <v>771027</v>
      </c>
      <c r="I34">
        <v>1011.5</v>
      </c>
      <c r="J34">
        <v>1</v>
      </c>
      <c r="K34">
        <v>0</v>
      </c>
      <c r="L34">
        <v>353</v>
      </c>
      <c r="M34">
        <v>706</v>
      </c>
      <c r="N34">
        <v>0</v>
      </c>
      <c r="O34">
        <v>-263</v>
      </c>
      <c r="P34">
        <v>-263</v>
      </c>
      <c r="Q34">
        <f t="shared" si="0"/>
        <v>2023</v>
      </c>
      <c r="R34">
        <f t="shared" si="1"/>
        <v>3</v>
      </c>
      <c r="S34" s="4">
        <f t="shared" si="2"/>
        <v>-273</v>
      </c>
      <c r="T34">
        <f t="shared" si="4"/>
        <v>4</v>
      </c>
      <c r="U34" s="4">
        <f t="shared" si="3"/>
        <v>-1092</v>
      </c>
      <c r="V34" s="4">
        <f t="shared" si="5"/>
        <v>168547</v>
      </c>
    </row>
    <row r="35" spans="1:22" x14ac:dyDescent="0.25">
      <c r="A35" s="1">
        <v>47</v>
      </c>
      <c r="B35" s="2">
        <v>44998</v>
      </c>
      <c r="C35">
        <v>0</v>
      </c>
      <c r="D35">
        <v>75998</v>
      </c>
      <c r="E35">
        <v>75998</v>
      </c>
      <c r="F35">
        <v>74772</v>
      </c>
      <c r="G35">
        <v>74860</v>
      </c>
      <c r="H35">
        <v>1489886</v>
      </c>
      <c r="I35">
        <v>1026.96</v>
      </c>
      <c r="J35">
        <v>0</v>
      </c>
      <c r="K35">
        <v>1</v>
      </c>
      <c r="L35">
        <v>337</v>
      </c>
      <c r="M35">
        <v>674</v>
      </c>
      <c r="N35">
        <v>337</v>
      </c>
      <c r="O35">
        <v>0</v>
      </c>
      <c r="P35">
        <v>337</v>
      </c>
      <c r="Q35">
        <f t="shared" si="0"/>
        <v>2023</v>
      </c>
      <c r="R35">
        <f t="shared" si="1"/>
        <v>3</v>
      </c>
      <c r="S35" s="4">
        <f t="shared" si="2"/>
        <v>327</v>
      </c>
      <c r="T35">
        <f t="shared" si="4"/>
        <v>5</v>
      </c>
      <c r="U35" s="4">
        <f t="shared" si="3"/>
        <v>1635</v>
      </c>
      <c r="V35" s="4">
        <f t="shared" si="5"/>
        <v>170182</v>
      </c>
    </row>
    <row r="36" spans="1:22" x14ac:dyDescent="0.25">
      <c r="A36" s="1">
        <v>48</v>
      </c>
      <c r="B36" s="2">
        <v>44999</v>
      </c>
      <c r="C36">
        <v>0</v>
      </c>
      <c r="D36">
        <v>74868</v>
      </c>
      <c r="E36">
        <v>75560</v>
      </c>
      <c r="F36">
        <v>74868</v>
      </c>
      <c r="G36">
        <v>75467</v>
      </c>
      <c r="H36">
        <v>877735</v>
      </c>
      <c r="I36">
        <v>1003.61</v>
      </c>
      <c r="J36">
        <v>1</v>
      </c>
      <c r="K36">
        <v>0</v>
      </c>
      <c r="L36">
        <v>342</v>
      </c>
      <c r="M36">
        <v>685</v>
      </c>
      <c r="N36">
        <v>0</v>
      </c>
      <c r="O36">
        <v>-563</v>
      </c>
      <c r="P36">
        <v>-563</v>
      </c>
      <c r="Q36">
        <f t="shared" si="0"/>
        <v>2023</v>
      </c>
      <c r="R36">
        <f t="shared" si="1"/>
        <v>3</v>
      </c>
      <c r="S36" s="4">
        <f t="shared" si="2"/>
        <v>-573</v>
      </c>
      <c r="T36">
        <f t="shared" si="4"/>
        <v>4</v>
      </c>
      <c r="U36" s="4">
        <f t="shared" si="3"/>
        <v>-2292</v>
      </c>
      <c r="V36" s="4">
        <f t="shared" si="5"/>
        <v>167890</v>
      </c>
    </row>
    <row r="37" spans="1:22" x14ac:dyDescent="0.25">
      <c r="A37" s="1">
        <v>49</v>
      </c>
      <c r="B37" s="2">
        <v>45000</v>
      </c>
      <c r="C37">
        <v>0</v>
      </c>
      <c r="D37">
        <v>75156</v>
      </c>
      <c r="E37">
        <v>75844</v>
      </c>
      <c r="F37">
        <v>75030</v>
      </c>
      <c r="G37">
        <v>75700</v>
      </c>
      <c r="H37">
        <v>568509</v>
      </c>
      <c r="I37">
        <v>990.06</v>
      </c>
      <c r="J37">
        <v>1</v>
      </c>
      <c r="K37">
        <v>1</v>
      </c>
      <c r="L37">
        <v>335</v>
      </c>
      <c r="M37">
        <v>669</v>
      </c>
      <c r="N37">
        <v>548</v>
      </c>
      <c r="O37">
        <v>0</v>
      </c>
      <c r="P37">
        <v>548</v>
      </c>
      <c r="Q37">
        <f t="shared" si="0"/>
        <v>2023</v>
      </c>
      <c r="R37">
        <f t="shared" si="1"/>
        <v>3</v>
      </c>
      <c r="S37" s="4">
        <f t="shared" si="2"/>
        <v>538</v>
      </c>
      <c r="T37">
        <f t="shared" si="4"/>
        <v>5</v>
      </c>
      <c r="U37" s="4">
        <f t="shared" si="3"/>
        <v>2690</v>
      </c>
      <c r="V37" s="4">
        <f t="shared" si="5"/>
        <v>170580</v>
      </c>
    </row>
    <row r="38" spans="1:22" x14ac:dyDescent="0.25">
      <c r="A38" s="1">
        <v>50</v>
      </c>
      <c r="B38" s="2">
        <v>45001</v>
      </c>
      <c r="C38">
        <v>0</v>
      </c>
      <c r="D38">
        <v>75749</v>
      </c>
      <c r="E38">
        <v>76629</v>
      </c>
      <c r="F38">
        <v>75177</v>
      </c>
      <c r="G38">
        <v>76340</v>
      </c>
      <c r="H38">
        <v>1816382</v>
      </c>
      <c r="I38">
        <v>1023.06</v>
      </c>
      <c r="J38">
        <v>1</v>
      </c>
      <c r="K38">
        <v>1</v>
      </c>
      <c r="L38">
        <v>330</v>
      </c>
      <c r="M38">
        <v>660</v>
      </c>
      <c r="N38">
        <v>597</v>
      </c>
      <c r="O38">
        <v>0</v>
      </c>
      <c r="P38">
        <v>597</v>
      </c>
      <c r="Q38">
        <f t="shared" si="0"/>
        <v>2023</v>
      </c>
      <c r="R38">
        <f t="shared" si="1"/>
        <v>3</v>
      </c>
      <c r="S38" s="4">
        <f t="shared" si="2"/>
        <v>587</v>
      </c>
      <c r="T38">
        <f t="shared" si="4"/>
        <v>5</v>
      </c>
      <c r="U38" s="4">
        <f t="shared" si="3"/>
        <v>2935</v>
      </c>
      <c r="V38" s="4">
        <f t="shared" si="5"/>
        <v>173515</v>
      </c>
    </row>
    <row r="39" spans="1:22" x14ac:dyDescent="0.25">
      <c r="A39" s="1">
        <v>51</v>
      </c>
      <c r="B39" s="2">
        <v>45002</v>
      </c>
      <c r="C39">
        <v>0</v>
      </c>
      <c r="D39">
        <v>76330</v>
      </c>
      <c r="E39">
        <v>76963</v>
      </c>
      <c r="F39">
        <v>75965</v>
      </c>
      <c r="G39">
        <v>76787</v>
      </c>
      <c r="H39">
        <v>1622152</v>
      </c>
      <c r="I39">
        <v>1021.27</v>
      </c>
      <c r="J39">
        <v>1</v>
      </c>
      <c r="K39">
        <v>1</v>
      </c>
      <c r="L39">
        <v>341</v>
      </c>
      <c r="M39">
        <v>682</v>
      </c>
      <c r="N39">
        <v>490</v>
      </c>
      <c r="O39">
        <v>0</v>
      </c>
      <c r="P39">
        <v>490</v>
      </c>
      <c r="Q39">
        <f t="shared" si="0"/>
        <v>2023</v>
      </c>
      <c r="R39">
        <f t="shared" si="1"/>
        <v>3</v>
      </c>
      <c r="S39" s="4">
        <f t="shared" si="2"/>
        <v>480</v>
      </c>
      <c r="T39">
        <f t="shared" si="4"/>
        <v>5</v>
      </c>
      <c r="U39" s="4">
        <f t="shared" si="3"/>
        <v>2400</v>
      </c>
      <c r="V39" s="4">
        <f t="shared" si="5"/>
        <v>175915</v>
      </c>
    </row>
    <row r="40" spans="1:22" x14ac:dyDescent="0.25">
      <c r="A40" s="1">
        <v>52</v>
      </c>
      <c r="B40" s="2">
        <v>45005</v>
      </c>
      <c r="C40">
        <v>0</v>
      </c>
      <c r="D40">
        <v>76763</v>
      </c>
      <c r="E40">
        <v>77633</v>
      </c>
      <c r="F40">
        <v>76520</v>
      </c>
      <c r="G40">
        <v>77090</v>
      </c>
      <c r="H40">
        <v>1221472</v>
      </c>
      <c r="I40">
        <v>1027.82</v>
      </c>
      <c r="J40">
        <v>1</v>
      </c>
      <c r="K40">
        <v>1</v>
      </c>
      <c r="L40">
        <v>340</v>
      </c>
      <c r="M40">
        <v>681</v>
      </c>
      <c r="N40">
        <v>372</v>
      </c>
      <c r="O40">
        <v>0</v>
      </c>
      <c r="P40">
        <v>372</v>
      </c>
      <c r="Q40">
        <f t="shared" si="0"/>
        <v>2023</v>
      </c>
      <c r="R40">
        <f t="shared" si="1"/>
        <v>3</v>
      </c>
      <c r="S40" s="4">
        <f t="shared" si="2"/>
        <v>362</v>
      </c>
      <c r="T40">
        <f t="shared" si="4"/>
        <v>5</v>
      </c>
      <c r="U40" s="4">
        <f t="shared" si="3"/>
        <v>1810</v>
      </c>
      <c r="V40" s="4">
        <f t="shared" si="5"/>
        <v>177725</v>
      </c>
    </row>
    <row r="41" spans="1:22" x14ac:dyDescent="0.25">
      <c r="A41" s="1">
        <v>53</v>
      </c>
      <c r="B41" s="2">
        <v>45006</v>
      </c>
      <c r="C41">
        <v>0</v>
      </c>
      <c r="D41">
        <v>77097</v>
      </c>
      <c r="E41">
        <v>77438</v>
      </c>
      <c r="F41">
        <v>76624</v>
      </c>
      <c r="G41">
        <v>76691</v>
      </c>
      <c r="H41">
        <v>794417</v>
      </c>
      <c r="I41">
        <v>1012.55</v>
      </c>
      <c r="J41">
        <v>0</v>
      </c>
      <c r="K41">
        <v>1</v>
      </c>
      <c r="L41">
        <v>343</v>
      </c>
      <c r="M41">
        <v>685</v>
      </c>
      <c r="N41">
        <v>343</v>
      </c>
      <c r="O41">
        <v>0</v>
      </c>
      <c r="P41">
        <v>343</v>
      </c>
      <c r="Q41">
        <f t="shared" si="0"/>
        <v>2023</v>
      </c>
      <c r="R41">
        <f t="shared" si="1"/>
        <v>3</v>
      </c>
      <c r="S41" s="4">
        <f t="shared" si="2"/>
        <v>333</v>
      </c>
      <c r="T41">
        <f t="shared" si="4"/>
        <v>5</v>
      </c>
      <c r="U41" s="4">
        <f t="shared" si="3"/>
        <v>1665</v>
      </c>
      <c r="V41" s="4">
        <f t="shared" si="5"/>
        <v>179390</v>
      </c>
    </row>
    <row r="42" spans="1:22" x14ac:dyDescent="0.25">
      <c r="A42" s="1">
        <v>54</v>
      </c>
      <c r="B42" s="2">
        <v>45007</v>
      </c>
      <c r="C42">
        <v>0</v>
      </c>
      <c r="D42">
        <v>76705</v>
      </c>
      <c r="E42">
        <v>77503</v>
      </c>
      <c r="F42">
        <v>76600</v>
      </c>
      <c r="G42">
        <v>77319</v>
      </c>
      <c r="H42">
        <v>855766</v>
      </c>
      <c r="I42">
        <v>1004.72</v>
      </c>
      <c r="J42">
        <v>1</v>
      </c>
      <c r="K42">
        <v>0</v>
      </c>
      <c r="L42">
        <v>338</v>
      </c>
      <c r="M42">
        <v>675</v>
      </c>
      <c r="N42">
        <v>0</v>
      </c>
      <c r="O42">
        <v>-565</v>
      </c>
      <c r="P42">
        <v>-565</v>
      </c>
      <c r="Q42">
        <f t="shared" si="0"/>
        <v>2023</v>
      </c>
      <c r="R42">
        <f t="shared" si="1"/>
        <v>3</v>
      </c>
      <c r="S42" s="4">
        <f t="shared" si="2"/>
        <v>-575</v>
      </c>
      <c r="T42">
        <f t="shared" si="4"/>
        <v>5</v>
      </c>
      <c r="U42" s="4">
        <f t="shared" si="3"/>
        <v>-2875</v>
      </c>
      <c r="V42" s="4">
        <f t="shared" si="5"/>
        <v>176515</v>
      </c>
    </row>
    <row r="43" spans="1:22" x14ac:dyDescent="0.25">
      <c r="A43" s="1">
        <v>55</v>
      </c>
      <c r="B43" s="2">
        <v>45008</v>
      </c>
      <c r="C43">
        <v>0</v>
      </c>
      <c r="D43">
        <v>77317</v>
      </c>
      <c r="E43">
        <v>77317</v>
      </c>
      <c r="F43">
        <v>75757</v>
      </c>
      <c r="G43">
        <v>76110</v>
      </c>
      <c r="H43">
        <v>1250036</v>
      </c>
      <c r="I43">
        <v>1044.53</v>
      </c>
      <c r="J43">
        <v>0</v>
      </c>
      <c r="K43">
        <v>1</v>
      </c>
      <c r="L43">
        <v>335</v>
      </c>
      <c r="M43">
        <v>670</v>
      </c>
      <c r="N43">
        <v>335</v>
      </c>
      <c r="O43">
        <v>0</v>
      </c>
      <c r="P43">
        <v>335</v>
      </c>
      <c r="Q43">
        <f t="shared" si="0"/>
        <v>2023</v>
      </c>
      <c r="R43">
        <f t="shared" si="1"/>
        <v>3</v>
      </c>
      <c r="S43" s="4">
        <f t="shared" si="2"/>
        <v>325</v>
      </c>
      <c r="T43">
        <f t="shared" si="4"/>
        <v>5</v>
      </c>
      <c r="U43" s="4">
        <f t="shared" si="3"/>
        <v>1625</v>
      </c>
      <c r="V43" s="4">
        <f t="shared" si="5"/>
        <v>178140</v>
      </c>
    </row>
    <row r="44" spans="1:22" x14ac:dyDescent="0.25">
      <c r="A44" s="1">
        <v>56</v>
      </c>
      <c r="B44" s="2">
        <v>45009</v>
      </c>
      <c r="C44">
        <v>0</v>
      </c>
      <c r="D44">
        <v>76120</v>
      </c>
      <c r="E44">
        <v>77147</v>
      </c>
      <c r="F44">
        <v>75900</v>
      </c>
      <c r="G44">
        <v>76961</v>
      </c>
      <c r="H44">
        <v>1278056</v>
      </c>
      <c r="I44">
        <v>1058.99</v>
      </c>
      <c r="J44">
        <v>1</v>
      </c>
      <c r="K44">
        <v>0</v>
      </c>
      <c r="L44">
        <v>348</v>
      </c>
      <c r="M44">
        <v>696</v>
      </c>
      <c r="N44">
        <v>0</v>
      </c>
      <c r="O44">
        <v>348</v>
      </c>
      <c r="P44">
        <v>348</v>
      </c>
      <c r="Q44">
        <f t="shared" si="0"/>
        <v>2023</v>
      </c>
      <c r="R44">
        <f t="shared" si="1"/>
        <v>3</v>
      </c>
      <c r="S44" s="4">
        <f t="shared" si="2"/>
        <v>338</v>
      </c>
      <c r="T44">
        <f t="shared" si="4"/>
        <v>5</v>
      </c>
      <c r="U44" s="4">
        <f t="shared" si="3"/>
        <v>1690</v>
      </c>
      <c r="V44" s="4">
        <f t="shared" si="5"/>
        <v>179830</v>
      </c>
    </row>
    <row r="45" spans="1:22" x14ac:dyDescent="0.25">
      <c r="A45" s="1">
        <v>57</v>
      </c>
      <c r="B45" s="2">
        <v>45012</v>
      </c>
      <c r="C45">
        <v>0</v>
      </c>
      <c r="D45">
        <v>76923</v>
      </c>
      <c r="E45">
        <v>76998</v>
      </c>
      <c r="F45">
        <v>76457</v>
      </c>
      <c r="G45">
        <v>76604</v>
      </c>
      <c r="H45">
        <v>785538</v>
      </c>
      <c r="I45">
        <v>1021.99</v>
      </c>
      <c r="J45">
        <v>0</v>
      </c>
      <c r="K45">
        <v>1</v>
      </c>
      <c r="L45">
        <v>353</v>
      </c>
      <c r="M45">
        <v>706</v>
      </c>
      <c r="N45">
        <v>-293</v>
      </c>
      <c r="O45">
        <v>0</v>
      </c>
      <c r="P45">
        <v>-293</v>
      </c>
      <c r="Q45">
        <f t="shared" si="0"/>
        <v>2023</v>
      </c>
      <c r="R45">
        <f t="shared" si="1"/>
        <v>3</v>
      </c>
      <c r="S45" s="4">
        <f t="shared" si="2"/>
        <v>-303</v>
      </c>
      <c r="T45">
        <f t="shared" si="4"/>
        <v>5</v>
      </c>
      <c r="U45" s="4">
        <f t="shared" si="3"/>
        <v>-1515</v>
      </c>
      <c r="V45" s="4">
        <f t="shared" si="5"/>
        <v>178315</v>
      </c>
    </row>
    <row r="46" spans="1:22" x14ac:dyDescent="0.25">
      <c r="A46" s="1">
        <v>58</v>
      </c>
      <c r="B46" s="2">
        <v>45013</v>
      </c>
      <c r="C46">
        <v>0</v>
      </c>
      <c r="D46">
        <v>76600</v>
      </c>
      <c r="E46">
        <v>77286</v>
      </c>
      <c r="F46">
        <v>76370</v>
      </c>
      <c r="G46">
        <v>77099</v>
      </c>
      <c r="H46">
        <v>723013</v>
      </c>
      <c r="I46">
        <v>1014.42</v>
      </c>
      <c r="J46">
        <v>1</v>
      </c>
      <c r="K46">
        <v>0</v>
      </c>
      <c r="L46">
        <v>341</v>
      </c>
      <c r="M46">
        <v>681</v>
      </c>
      <c r="N46">
        <v>0</v>
      </c>
      <c r="O46">
        <v>-511</v>
      </c>
      <c r="P46">
        <v>-511</v>
      </c>
      <c r="Q46">
        <f t="shared" si="0"/>
        <v>2023</v>
      </c>
      <c r="R46">
        <f t="shared" si="1"/>
        <v>3</v>
      </c>
      <c r="S46" s="4">
        <f t="shared" si="2"/>
        <v>-521</v>
      </c>
      <c r="T46">
        <f t="shared" si="4"/>
        <v>5</v>
      </c>
      <c r="U46" s="4">
        <f t="shared" si="3"/>
        <v>-2605</v>
      </c>
      <c r="V46" s="4">
        <f t="shared" si="5"/>
        <v>175710</v>
      </c>
    </row>
    <row r="47" spans="1:22" x14ac:dyDescent="0.25">
      <c r="A47" s="1">
        <v>59</v>
      </c>
      <c r="B47" s="2">
        <v>45014</v>
      </c>
      <c r="C47">
        <v>0</v>
      </c>
      <c r="D47">
        <v>77096</v>
      </c>
      <c r="E47">
        <v>77417</v>
      </c>
      <c r="F47">
        <v>76963</v>
      </c>
      <c r="G47">
        <v>77327</v>
      </c>
      <c r="H47">
        <v>566265</v>
      </c>
      <c r="I47">
        <v>974.39</v>
      </c>
      <c r="J47">
        <v>1</v>
      </c>
      <c r="K47">
        <v>1</v>
      </c>
      <c r="L47">
        <v>338</v>
      </c>
      <c r="M47">
        <v>676</v>
      </c>
      <c r="N47">
        <v>283</v>
      </c>
      <c r="O47">
        <v>0</v>
      </c>
      <c r="P47">
        <v>283</v>
      </c>
      <c r="Q47">
        <f t="shared" si="0"/>
        <v>2023</v>
      </c>
      <c r="R47">
        <f t="shared" si="1"/>
        <v>3</v>
      </c>
      <c r="S47" s="4">
        <f t="shared" si="2"/>
        <v>273</v>
      </c>
      <c r="T47">
        <f t="shared" si="4"/>
        <v>5</v>
      </c>
      <c r="U47" s="4">
        <f t="shared" si="3"/>
        <v>1365</v>
      </c>
      <c r="V47" s="4">
        <f t="shared" si="5"/>
        <v>177075</v>
      </c>
    </row>
    <row r="48" spans="1:22" x14ac:dyDescent="0.25">
      <c r="A48" s="1">
        <v>60</v>
      </c>
      <c r="B48" s="2">
        <v>45015</v>
      </c>
      <c r="C48">
        <v>0</v>
      </c>
      <c r="D48">
        <v>77326</v>
      </c>
      <c r="E48">
        <v>77567</v>
      </c>
      <c r="F48">
        <v>76853</v>
      </c>
      <c r="G48">
        <v>77375</v>
      </c>
      <c r="H48">
        <v>1080348</v>
      </c>
      <c r="I48">
        <v>955.79</v>
      </c>
      <c r="J48">
        <v>1</v>
      </c>
      <c r="K48">
        <v>1</v>
      </c>
      <c r="L48">
        <v>325</v>
      </c>
      <c r="M48">
        <v>650</v>
      </c>
      <c r="N48">
        <v>80</v>
      </c>
      <c r="O48">
        <v>0</v>
      </c>
      <c r="P48">
        <v>80</v>
      </c>
      <c r="Q48">
        <f t="shared" si="0"/>
        <v>2023</v>
      </c>
      <c r="R48">
        <f t="shared" si="1"/>
        <v>3</v>
      </c>
      <c r="S48" s="4">
        <f t="shared" si="2"/>
        <v>70</v>
      </c>
      <c r="T48">
        <f t="shared" si="4"/>
        <v>5</v>
      </c>
      <c r="U48" s="4">
        <f t="shared" si="3"/>
        <v>350</v>
      </c>
      <c r="V48" s="4">
        <f t="shared" si="5"/>
        <v>177425</v>
      </c>
    </row>
    <row r="49" spans="1:22" x14ac:dyDescent="0.25">
      <c r="A49" s="1">
        <v>61</v>
      </c>
      <c r="B49" s="2">
        <v>45016</v>
      </c>
      <c r="C49">
        <v>0</v>
      </c>
      <c r="D49">
        <v>77370</v>
      </c>
      <c r="E49">
        <v>78235</v>
      </c>
      <c r="F49">
        <v>77293</v>
      </c>
      <c r="G49">
        <v>77806</v>
      </c>
      <c r="H49">
        <v>883275</v>
      </c>
      <c r="I49">
        <v>954.81</v>
      </c>
      <c r="J49">
        <v>1</v>
      </c>
      <c r="K49">
        <v>1</v>
      </c>
      <c r="L49">
        <v>319</v>
      </c>
      <c r="M49">
        <v>637</v>
      </c>
      <c r="N49">
        <v>456</v>
      </c>
      <c r="O49">
        <v>0</v>
      </c>
      <c r="P49">
        <v>456</v>
      </c>
      <c r="Q49">
        <f t="shared" si="0"/>
        <v>2023</v>
      </c>
      <c r="R49">
        <f t="shared" si="1"/>
        <v>3</v>
      </c>
      <c r="S49" s="4">
        <f t="shared" si="2"/>
        <v>446</v>
      </c>
      <c r="T49">
        <f t="shared" si="4"/>
        <v>5</v>
      </c>
      <c r="U49" s="4">
        <f t="shared" si="3"/>
        <v>2230</v>
      </c>
      <c r="V49" s="4">
        <f t="shared" si="5"/>
        <v>179655</v>
      </c>
    </row>
    <row r="50" spans="1:22" x14ac:dyDescent="0.25">
      <c r="A50" s="1">
        <v>62</v>
      </c>
      <c r="B50" s="2">
        <v>45019</v>
      </c>
      <c r="C50">
        <v>0</v>
      </c>
      <c r="D50">
        <v>77808</v>
      </c>
      <c r="E50">
        <v>78989</v>
      </c>
      <c r="F50">
        <v>77448</v>
      </c>
      <c r="G50">
        <v>78850</v>
      </c>
      <c r="H50">
        <v>834545</v>
      </c>
      <c r="I50">
        <v>996.68</v>
      </c>
      <c r="J50">
        <v>1</v>
      </c>
      <c r="K50">
        <v>1</v>
      </c>
      <c r="L50">
        <v>318</v>
      </c>
      <c r="M50">
        <v>637</v>
      </c>
      <c r="N50">
        <v>637</v>
      </c>
      <c r="O50">
        <v>0</v>
      </c>
      <c r="P50">
        <v>637</v>
      </c>
      <c r="Q50">
        <f t="shared" si="0"/>
        <v>2023</v>
      </c>
      <c r="R50">
        <f t="shared" si="1"/>
        <v>4</v>
      </c>
      <c r="S50" s="4">
        <f t="shared" si="2"/>
        <v>627</v>
      </c>
      <c r="T50">
        <f t="shared" si="4"/>
        <v>5</v>
      </c>
      <c r="U50" s="4">
        <f t="shared" si="3"/>
        <v>3135</v>
      </c>
      <c r="V50" s="4">
        <f t="shared" si="5"/>
        <v>182790</v>
      </c>
    </row>
    <row r="51" spans="1:22" x14ac:dyDescent="0.25">
      <c r="A51" s="1">
        <v>63</v>
      </c>
      <c r="B51" s="2">
        <v>45020</v>
      </c>
      <c r="C51">
        <v>0</v>
      </c>
      <c r="D51">
        <v>78860</v>
      </c>
      <c r="E51">
        <v>79777</v>
      </c>
      <c r="F51">
        <v>78860</v>
      </c>
      <c r="G51">
        <v>79688</v>
      </c>
      <c r="H51">
        <v>970056</v>
      </c>
      <c r="I51">
        <v>991.7</v>
      </c>
      <c r="J51">
        <v>1</v>
      </c>
      <c r="K51">
        <v>1</v>
      </c>
      <c r="L51">
        <v>332</v>
      </c>
      <c r="M51">
        <v>664</v>
      </c>
      <c r="N51">
        <v>664</v>
      </c>
      <c r="O51">
        <v>0</v>
      </c>
      <c r="P51">
        <v>664</v>
      </c>
      <c r="Q51">
        <f t="shared" si="0"/>
        <v>2023</v>
      </c>
      <c r="R51">
        <f t="shared" si="1"/>
        <v>4</v>
      </c>
      <c r="S51" s="4">
        <f t="shared" si="2"/>
        <v>654</v>
      </c>
      <c r="T51">
        <f t="shared" si="4"/>
        <v>5</v>
      </c>
      <c r="U51" s="4">
        <f t="shared" si="3"/>
        <v>3270</v>
      </c>
      <c r="V51" s="4">
        <f t="shared" si="5"/>
        <v>186060</v>
      </c>
    </row>
    <row r="52" spans="1:22" x14ac:dyDescent="0.25">
      <c r="A52" s="1">
        <v>64</v>
      </c>
      <c r="B52" s="2">
        <v>45021</v>
      </c>
      <c r="C52">
        <v>0</v>
      </c>
      <c r="D52">
        <v>79658</v>
      </c>
      <c r="E52">
        <v>80171</v>
      </c>
      <c r="F52">
        <v>79407</v>
      </c>
      <c r="G52">
        <v>80150</v>
      </c>
      <c r="H52">
        <v>770103</v>
      </c>
      <c r="I52">
        <v>975.44</v>
      </c>
      <c r="J52">
        <v>1</v>
      </c>
      <c r="K52">
        <v>1</v>
      </c>
      <c r="L52">
        <v>331</v>
      </c>
      <c r="M52">
        <v>661</v>
      </c>
      <c r="N52">
        <v>458</v>
      </c>
      <c r="O52">
        <v>0</v>
      </c>
      <c r="P52">
        <v>458</v>
      </c>
      <c r="Q52">
        <f t="shared" si="0"/>
        <v>2023</v>
      </c>
      <c r="R52">
        <f t="shared" si="1"/>
        <v>4</v>
      </c>
      <c r="S52" s="4">
        <f t="shared" si="2"/>
        <v>448</v>
      </c>
      <c r="T52">
        <f t="shared" si="4"/>
        <v>5</v>
      </c>
      <c r="U52" s="4">
        <f t="shared" si="3"/>
        <v>2240</v>
      </c>
      <c r="V52" s="4">
        <f t="shared" si="5"/>
        <v>188300</v>
      </c>
    </row>
    <row r="53" spans="1:22" x14ac:dyDescent="0.25">
      <c r="A53" s="1">
        <v>65</v>
      </c>
      <c r="B53" s="2">
        <v>45022</v>
      </c>
      <c r="C53">
        <v>0</v>
      </c>
      <c r="D53">
        <v>80150</v>
      </c>
      <c r="E53">
        <v>81790</v>
      </c>
      <c r="F53">
        <v>80112</v>
      </c>
      <c r="G53">
        <v>81720</v>
      </c>
      <c r="H53">
        <v>1128114</v>
      </c>
      <c r="I53">
        <v>1025.6199999999999</v>
      </c>
      <c r="J53">
        <v>1</v>
      </c>
      <c r="K53">
        <v>1</v>
      </c>
      <c r="L53">
        <v>325</v>
      </c>
      <c r="M53">
        <v>650</v>
      </c>
      <c r="N53">
        <v>650</v>
      </c>
      <c r="O53">
        <v>0</v>
      </c>
      <c r="P53">
        <v>650</v>
      </c>
      <c r="Q53">
        <f t="shared" si="0"/>
        <v>2023</v>
      </c>
      <c r="R53">
        <f t="shared" si="1"/>
        <v>4</v>
      </c>
      <c r="S53" s="4">
        <f t="shared" si="2"/>
        <v>640</v>
      </c>
      <c r="T53">
        <f t="shared" si="4"/>
        <v>5</v>
      </c>
      <c r="U53" s="4">
        <f t="shared" si="3"/>
        <v>3200</v>
      </c>
      <c r="V53" s="4">
        <f t="shared" si="5"/>
        <v>191500</v>
      </c>
    </row>
    <row r="54" spans="1:22" x14ac:dyDescent="0.25">
      <c r="A54" s="1">
        <v>66</v>
      </c>
      <c r="B54" s="2">
        <v>45023</v>
      </c>
      <c r="C54">
        <v>0</v>
      </c>
      <c r="D54">
        <v>81727</v>
      </c>
      <c r="E54">
        <v>83172</v>
      </c>
      <c r="F54">
        <v>80520</v>
      </c>
      <c r="G54">
        <v>81017</v>
      </c>
      <c r="H54">
        <v>2427761</v>
      </c>
      <c r="I54">
        <v>1141.79</v>
      </c>
      <c r="J54">
        <v>0</v>
      </c>
      <c r="K54">
        <v>1</v>
      </c>
      <c r="L54">
        <v>342</v>
      </c>
      <c r="M54">
        <v>684</v>
      </c>
      <c r="N54">
        <v>342</v>
      </c>
      <c r="O54">
        <v>0</v>
      </c>
      <c r="P54">
        <v>342</v>
      </c>
      <c r="Q54">
        <f t="shared" si="0"/>
        <v>2023</v>
      </c>
      <c r="R54">
        <f t="shared" si="1"/>
        <v>4</v>
      </c>
      <c r="S54" s="4">
        <f t="shared" si="2"/>
        <v>332</v>
      </c>
      <c r="T54">
        <f t="shared" si="4"/>
        <v>5</v>
      </c>
      <c r="U54" s="4">
        <f t="shared" si="3"/>
        <v>1660</v>
      </c>
      <c r="V54" s="4">
        <f t="shared" si="5"/>
        <v>193160</v>
      </c>
    </row>
    <row r="55" spans="1:22" x14ac:dyDescent="0.25">
      <c r="A55" s="1">
        <v>67</v>
      </c>
      <c r="B55" s="2">
        <v>45026</v>
      </c>
      <c r="C55">
        <v>0</v>
      </c>
      <c r="D55">
        <v>81025</v>
      </c>
      <c r="E55">
        <v>81745</v>
      </c>
      <c r="F55">
        <v>80613</v>
      </c>
      <c r="G55">
        <v>81395</v>
      </c>
      <c r="H55">
        <v>1700100</v>
      </c>
      <c r="I55">
        <v>1141.0899999999999</v>
      </c>
      <c r="J55">
        <v>1</v>
      </c>
      <c r="K55">
        <v>0</v>
      </c>
      <c r="L55">
        <v>381</v>
      </c>
      <c r="M55">
        <v>761</v>
      </c>
      <c r="N55">
        <v>0</v>
      </c>
      <c r="O55">
        <v>-323</v>
      </c>
      <c r="P55">
        <v>-323</v>
      </c>
      <c r="Q55">
        <f t="shared" si="0"/>
        <v>2023</v>
      </c>
      <c r="R55">
        <f t="shared" si="1"/>
        <v>4</v>
      </c>
      <c r="S55" s="4">
        <f t="shared" si="2"/>
        <v>-333</v>
      </c>
      <c r="T55">
        <f t="shared" si="4"/>
        <v>5</v>
      </c>
      <c r="U55" s="4">
        <f t="shared" si="3"/>
        <v>-1665</v>
      </c>
      <c r="V55" s="4">
        <f t="shared" si="5"/>
        <v>191495</v>
      </c>
    </row>
    <row r="56" spans="1:22" x14ac:dyDescent="0.25">
      <c r="A56" s="1">
        <v>68</v>
      </c>
      <c r="B56" s="2">
        <v>45027</v>
      </c>
      <c r="C56">
        <v>0</v>
      </c>
      <c r="D56">
        <v>81395</v>
      </c>
      <c r="E56">
        <v>82450</v>
      </c>
      <c r="F56">
        <v>81210</v>
      </c>
      <c r="G56">
        <v>82150</v>
      </c>
      <c r="H56">
        <v>944263</v>
      </c>
      <c r="I56">
        <v>1148.1500000000001</v>
      </c>
      <c r="J56">
        <v>1</v>
      </c>
      <c r="K56">
        <v>1</v>
      </c>
      <c r="L56">
        <v>380</v>
      </c>
      <c r="M56">
        <v>761</v>
      </c>
      <c r="N56">
        <v>672</v>
      </c>
      <c r="O56">
        <v>0</v>
      </c>
      <c r="P56">
        <v>672</v>
      </c>
      <c r="Q56">
        <f t="shared" si="0"/>
        <v>2023</v>
      </c>
      <c r="R56">
        <f t="shared" si="1"/>
        <v>4</v>
      </c>
      <c r="S56" s="4">
        <f t="shared" si="2"/>
        <v>662</v>
      </c>
      <c r="T56">
        <f t="shared" si="4"/>
        <v>5</v>
      </c>
      <c r="U56" s="4">
        <f t="shared" si="3"/>
        <v>3310</v>
      </c>
      <c r="V56" s="4">
        <f t="shared" si="5"/>
        <v>194805</v>
      </c>
    </row>
    <row r="57" spans="1:22" x14ac:dyDescent="0.25">
      <c r="A57" s="1">
        <v>69</v>
      </c>
      <c r="B57" s="2">
        <v>45028</v>
      </c>
      <c r="C57">
        <v>0</v>
      </c>
      <c r="D57">
        <v>82153</v>
      </c>
      <c r="E57">
        <v>82337</v>
      </c>
      <c r="F57">
        <v>81331</v>
      </c>
      <c r="G57">
        <v>81553</v>
      </c>
      <c r="H57">
        <v>722188</v>
      </c>
      <c r="I57">
        <v>1138</v>
      </c>
      <c r="J57">
        <v>0</v>
      </c>
      <c r="K57">
        <v>1</v>
      </c>
      <c r="L57">
        <v>383</v>
      </c>
      <c r="M57">
        <v>765</v>
      </c>
      <c r="N57">
        <v>383</v>
      </c>
      <c r="O57">
        <v>0</v>
      </c>
      <c r="P57">
        <v>383</v>
      </c>
      <c r="Q57">
        <f t="shared" si="0"/>
        <v>2023</v>
      </c>
      <c r="R57">
        <f t="shared" si="1"/>
        <v>4</v>
      </c>
      <c r="S57" s="4">
        <f t="shared" si="2"/>
        <v>373</v>
      </c>
      <c r="T57">
        <f t="shared" si="4"/>
        <v>5</v>
      </c>
      <c r="U57" s="4">
        <f t="shared" si="3"/>
        <v>1865</v>
      </c>
      <c r="V57" s="4">
        <f t="shared" si="5"/>
        <v>196670</v>
      </c>
    </row>
    <row r="58" spans="1:22" x14ac:dyDescent="0.25">
      <c r="A58" s="1">
        <v>70</v>
      </c>
      <c r="B58" s="2">
        <v>45029</v>
      </c>
      <c r="C58">
        <v>0</v>
      </c>
      <c r="D58">
        <v>81595</v>
      </c>
      <c r="E58">
        <v>81825</v>
      </c>
      <c r="F58">
        <v>80831</v>
      </c>
      <c r="G58">
        <v>81446</v>
      </c>
      <c r="H58">
        <v>948160</v>
      </c>
      <c r="I58">
        <v>1127.72</v>
      </c>
      <c r="J58">
        <v>0</v>
      </c>
      <c r="K58">
        <v>0</v>
      </c>
      <c r="L58">
        <v>379</v>
      </c>
      <c r="M58">
        <v>759</v>
      </c>
      <c r="N58">
        <v>0</v>
      </c>
      <c r="O58">
        <v>308</v>
      </c>
      <c r="P58">
        <v>308</v>
      </c>
      <c r="Q58">
        <f t="shared" si="0"/>
        <v>2023</v>
      </c>
      <c r="R58">
        <f t="shared" si="1"/>
        <v>4</v>
      </c>
      <c r="S58" s="4">
        <f t="shared" si="2"/>
        <v>298</v>
      </c>
      <c r="T58">
        <f t="shared" si="4"/>
        <v>5</v>
      </c>
      <c r="U58" s="4">
        <f t="shared" si="3"/>
        <v>1490</v>
      </c>
      <c r="V58" s="4">
        <f t="shared" si="5"/>
        <v>198160</v>
      </c>
    </row>
    <row r="59" spans="1:22" x14ac:dyDescent="0.25">
      <c r="A59" s="1">
        <v>71</v>
      </c>
      <c r="B59" s="2">
        <v>45030</v>
      </c>
      <c r="C59">
        <v>0</v>
      </c>
      <c r="D59">
        <v>81415</v>
      </c>
      <c r="E59">
        <v>81470</v>
      </c>
      <c r="F59">
        <v>80831</v>
      </c>
      <c r="G59">
        <v>81239</v>
      </c>
      <c r="H59">
        <v>826961</v>
      </c>
      <c r="I59">
        <v>1092.81</v>
      </c>
      <c r="J59">
        <v>0</v>
      </c>
      <c r="K59">
        <v>0</v>
      </c>
      <c r="L59">
        <v>376</v>
      </c>
      <c r="M59">
        <v>752</v>
      </c>
      <c r="N59">
        <v>0</v>
      </c>
      <c r="O59">
        <v>177</v>
      </c>
      <c r="P59">
        <v>177</v>
      </c>
      <c r="Q59">
        <f t="shared" si="0"/>
        <v>2023</v>
      </c>
      <c r="R59">
        <f t="shared" si="1"/>
        <v>4</v>
      </c>
      <c r="S59" s="4">
        <f t="shared" si="2"/>
        <v>167</v>
      </c>
      <c r="T59">
        <f t="shared" si="4"/>
        <v>5</v>
      </c>
      <c r="U59" s="4">
        <f t="shared" si="3"/>
        <v>835</v>
      </c>
      <c r="V59" s="4">
        <f t="shared" si="5"/>
        <v>198995</v>
      </c>
    </row>
    <row r="60" spans="1:22" x14ac:dyDescent="0.25">
      <c r="A60" s="1">
        <v>72</v>
      </c>
      <c r="B60" s="2">
        <v>45033</v>
      </c>
      <c r="C60">
        <v>0</v>
      </c>
      <c r="D60">
        <v>81288</v>
      </c>
      <c r="E60">
        <v>81847</v>
      </c>
      <c r="F60">
        <v>80272</v>
      </c>
      <c r="G60">
        <v>80373</v>
      </c>
      <c r="H60">
        <v>1228931</v>
      </c>
      <c r="I60">
        <v>1127.25</v>
      </c>
      <c r="J60">
        <v>0</v>
      </c>
      <c r="K60">
        <v>0</v>
      </c>
      <c r="L60">
        <v>364</v>
      </c>
      <c r="M60">
        <v>729</v>
      </c>
      <c r="N60">
        <v>0</v>
      </c>
      <c r="O60">
        <v>729</v>
      </c>
      <c r="P60">
        <v>729</v>
      </c>
      <c r="Q60">
        <f t="shared" si="0"/>
        <v>2023</v>
      </c>
      <c r="R60">
        <f t="shared" si="1"/>
        <v>4</v>
      </c>
      <c r="S60" s="4">
        <f t="shared" si="2"/>
        <v>719</v>
      </c>
      <c r="T60">
        <f t="shared" si="4"/>
        <v>5</v>
      </c>
      <c r="U60" s="4">
        <f t="shared" si="3"/>
        <v>3595</v>
      </c>
      <c r="V60" s="4">
        <f t="shared" si="5"/>
        <v>202590</v>
      </c>
    </row>
    <row r="61" spans="1:22" x14ac:dyDescent="0.25">
      <c r="A61" s="1">
        <v>73</v>
      </c>
      <c r="B61" s="2">
        <v>45034</v>
      </c>
      <c r="C61">
        <v>0</v>
      </c>
      <c r="D61">
        <v>80373</v>
      </c>
      <c r="E61">
        <v>80899</v>
      </c>
      <c r="F61">
        <v>80180</v>
      </c>
      <c r="G61">
        <v>80701</v>
      </c>
      <c r="H61">
        <v>685353</v>
      </c>
      <c r="I61">
        <v>1098.0899999999999</v>
      </c>
      <c r="J61">
        <v>1</v>
      </c>
      <c r="K61">
        <v>0</v>
      </c>
      <c r="L61">
        <v>376</v>
      </c>
      <c r="M61">
        <v>752</v>
      </c>
      <c r="N61">
        <v>0</v>
      </c>
      <c r="O61">
        <v>-316</v>
      </c>
      <c r="P61">
        <v>-316</v>
      </c>
      <c r="Q61">
        <f t="shared" si="0"/>
        <v>2023</v>
      </c>
      <c r="R61">
        <f t="shared" si="1"/>
        <v>4</v>
      </c>
      <c r="S61" s="4">
        <f t="shared" si="2"/>
        <v>-326</v>
      </c>
      <c r="T61">
        <f t="shared" si="4"/>
        <v>5</v>
      </c>
      <c r="U61" s="4">
        <f t="shared" si="3"/>
        <v>-1630</v>
      </c>
      <c r="V61" s="4">
        <f t="shared" si="5"/>
        <v>200960</v>
      </c>
    </row>
    <row r="62" spans="1:22" x14ac:dyDescent="0.25">
      <c r="A62" s="1">
        <v>74</v>
      </c>
      <c r="B62" s="2">
        <v>45035</v>
      </c>
      <c r="C62">
        <v>0</v>
      </c>
      <c r="D62">
        <v>80713</v>
      </c>
      <c r="E62">
        <v>81370</v>
      </c>
      <c r="F62">
        <v>80300</v>
      </c>
      <c r="G62">
        <v>81270</v>
      </c>
      <c r="H62">
        <v>1062044</v>
      </c>
      <c r="I62">
        <v>1096.08</v>
      </c>
      <c r="J62">
        <v>1</v>
      </c>
      <c r="K62">
        <v>1</v>
      </c>
      <c r="L62">
        <v>366</v>
      </c>
      <c r="M62">
        <v>732</v>
      </c>
      <c r="N62">
        <v>558</v>
      </c>
      <c r="O62">
        <v>0</v>
      </c>
      <c r="P62">
        <v>558</v>
      </c>
      <c r="Q62">
        <f t="shared" si="0"/>
        <v>2023</v>
      </c>
      <c r="R62">
        <f t="shared" si="1"/>
        <v>4</v>
      </c>
      <c r="S62" s="4">
        <f t="shared" si="2"/>
        <v>548</v>
      </c>
      <c r="T62">
        <f t="shared" si="4"/>
        <v>5</v>
      </c>
      <c r="U62" s="4">
        <f t="shared" si="3"/>
        <v>2740</v>
      </c>
      <c r="V62" s="4">
        <f t="shared" si="5"/>
        <v>203700</v>
      </c>
    </row>
    <row r="63" spans="1:22" x14ac:dyDescent="0.25">
      <c r="A63" s="1">
        <v>75</v>
      </c>
      <c r="B63" s="2">
        <v>45036</v>
      </c>
      <c r="C63">
        <v>0</v>
      </c>
      <c r="D63">
        <v>81270</v>
      </c>
      <c r="E63">
        <v>81305</v>
      </c>
      <c r="F63">
        <v>80460</v>
      </c>
      <c r="G63">
        <v>80714</v>
      </c>
      <c r="H63">
        <v>868579</v>
      </c>
      <c r="I63">
        <v>1078.1500000000001</v>
      </c>
      <c r="J63">
        <v>0</v>
      </c>
      <c r="K63">
        <v>1</v>
      </c>
      <c r="L63">
        <v>365</v>
      </c>
      <c r="M63">
        <v>731</v>
      </c>
      <c r="N63">
        <v>365</v>
      </c>
      <c r="O63">
        <v>0</v>
      </c>
      <c r="P63">
        <v>365</v>
      </c>
      <c r="Q63">
        <f t="shared" si="0"/>
        <v>2023</v>
      </c>
      <c r="R63">
        <f t="shared" si="1"/>
        <v>4</v>
      </c>
      <c r="S63" s="4">
        <f t="shared" si="2"/>
        <v>355</v>
      </c>
      <c r="T63">
        <f t="shared" si="4"/>
        <v>5</v>
      </c>
      <c r="U63" s="4">
        <f t="shared" si="3"/>
        <v>1775</v>
      </c>
      <c r="V63" s="4">
        <f t="shared" si="5"/>
        <v>205475</v>
      </c>
    </row>
    <row r="64" spans="1:22" x14ac:dyDescent="0.25">
      <c r="A64" s="1">
        <v>76</v>
      </c>
      <c r="B64" s="2">
        <v>45037</v>
      </c>
      <c r="C64">
        <v>0</v>
      </c>
      <c r="D64">
        <v>80712</v>
      </c>
      <c r="E64">
        <v>80990</v>
      </c>
      <c r="F64">
        <v>80339</v>
      </c>
      <c r="G64">
        <v>80707</v>
      </c>
      <c r="H64">
        <v>591377</v>
      </c>
      <c r="I64">
        <v>1047.6400000000001</v>
      </c>
      <c r="J64">
        <v>0</v>
      </c>
      <c r="K64">
        <v>0</v>
      </c>
      <c r="L64">
        <v>359</v>
      </c>
      <c r="M64">
        <v>719</v>
      </c>
      <c r="N64">
        <v>0</v>
      </c>
      <c r="O64">
        <v>13</v>
      </c>
      <c r="P64">
        <v>13</v>
      </c>
      <c r="Q64">
        <f t="shared" si="0"/>
        <v>2023</v>
      </c>
      <c r="R64">
        <f t="shared" si="1"/>
        <v>4</v>
      </c>
      <c r="S64" s="4">
        <f t="shared" si="2"/>
        <v>3</v>
      </c>
      <c r="T64">
        <f t="shared" si="4"/>
        <v>5</v>
      </c>
      <c r="U64" s="4">
        <f t="shared" si="3"/>
        <v>15</v>
      </c>
      <c r="V64" s="4">
        <f t="shared" si="5"/>
        <v>205490</v>
      </c>
    </row>
    <row r="65" spans="1:22" x14ac:dyDescent="0.25">
      <c r="A65" s="1">
        <v>77</v>
      </c>
      <c r="B65" s="2">
        <v>45040</v>
      </c>
      <c r="C65">
        <v>0</v>
      </c>
      <c r="D65">
        <v>80681</v>
      </c>
      <c r="E65">
        <v>80743</v>
      </c>
      <c r="F65">
        <v>79937</v>
      </c>
      <c r="G65">
        <v>80140</v>
      </c>
      <c r="H65">
        <v>812121</v>
      </c>
      <c r="I65">
        <v>1030.3800000000001</v>
      </c>
      <c r="J65">
        <v>0</v>
      </c>
      <c r="K65">
        <v>0</v>
      </c>
      <c r="L65">
        <v>349</v>
      </c>
      <c r="M65">
        <v>698</v>
      </c>
      <c r="N65">
        <v>0</v>
      </c>
      <c r="O65">
        <v>494</v>
      </c>
      <c r="P65">
        <v>494</v>
      </c>
      <c r="Q65">
        <f t="shared" si="0"/>
        <v>2023</v>
      </c>
      <c r="R65">
        <f t="shared" si="1"/>
        <v>4</v>
      </c>
      <c r="S65" s="4">
        <f t="shared" si="2"/>
        <v>484</v>
      </c>
      <c r="T65">
        <f t="shared" si="4"/>
        <v>5</v>
      </c>
      <c r="U65" s="4">
        <f t="shared" si="3"/>
        <v>2420</v>
      </c>
      <c r="V65" s="4">
        <f t="shared" si="5"/>
        <v>207910</v>
      </c>
    </row>
    <row r="66" spans="1:22" x14ac:dyDescent="0.25">
      <c r="A66" s="1">
        <v>78</v>
      </c>
      <c r="B66" s="2">
        <v>45041</v>
      </c>
      <c r="C66">
        <v>0</v>
      </c>
      <c r="D66">
        <v>80148</v>
      </c>
      <c r="E66">
        <v>80970</v>
      </c>
      <c r="F66">
        <v>80142</v>
      </c>
      <c r="G66">
        <v>80403</v>
      </c>
      <c r="H66">
        <v>1022639</v>
      </c>
      <c r="I66">
        <v>1016.06</v>
      </c>
      <c r="J66">
        <v>1</v>
      </c>
      <c r="K66">
        <v>0</v>
      </c>
      <c r="L66">
        <v>343</v>
      </c>
      <c r="M66">
        <v>687</v>
      </c>
      <c r="N66">
        <v>0</v>
      </c>
      <c r="O66">
        <v>-306</v>
      </c>
      <c r="P66">
        <v>-306</v>
      </c>
      <c r="Q66">
        <f t="shared" si="0"/>
        <v>2023</v>
      </c>
      <c r="R66">
        <f t="shared" si="1"/>
        <v>4</v>
      </c>
      <c r="S66" s="4">
        <f t="shared" si="2"/>
        <v>-316</v>
      </c>
      <c r="T66">
        <f t="shared" si="4"/>
        <v>6</v>
      </c>
      <c r="U66" s="4">
        <f t="shared" si="3"/>
        <v>-1896</v>
      </c>
      <c r="V66" s="4">
        <f t="shared" si="5"/>
        <v>206014</v>
      </c>
    </row>
    <row r="67" spans="1:22" x14ac:dyDescent="0.25">
      <c r="A67" s="1">
        <v>79</v>
      </c>
      <c r="B67" s="2">
        <v>45042</v>
      </c>
      <c r="C67">
        <v>0</v>
      </c>
      <c r="D67">
        <v>80400</v>
      </c>
      <c r="E67">
        <v>81051</v>
      </c>
      <c r="F67">
        <v>80243</v>
      </c>
      <c r="G67">
        <v>80946</v>
      </c>
      <c r="H67">
        <v>684142</v>
      </c>
      <c r="I67">
        <v>1001.2</v>
      </c>
      <c r="J67">
        <v>1</v>
      </c>
      <c r="K67">
        <v>1</v>
      </c>
      <c r="L67">
        <v>339</v>
      </c>
      <c r="M67">
        <v>677</v>
      </c>
      <c r="N67">
        <v>559</v>
      </c>
      <c r="O67">
        <v>0</v>
      </c>
      <c r="P67">
        <v>559</v>
      </c>
      <c r="Q67">
        <f t="shared" ref="Q67:Q130" si="6">YEAR(B67)</f>
        <v>2023</v>
      </c>
      <c r="R67">
        <f t="shared" ref="R67:R130" si="7">MONTH(B67)</f>
        <v>4</v>
      </c>
      <c r="S67" s="4">
        <f t="shared" ref="S67:S130" si="8">P67-10</f>
        <v>549</v>
      </c>
      <c r="T67">
        <f t="shared" si="4"/>
        <v>6</v>
      </c>
      <c r="U67" s="4">
        <f t="shared" ref="U67:U130" si="9">S67*T67</f>
        <v>3294</v>
      </c>
      <c r="V67" s="4">
        <f t="shared" si="5"/>
        <v>209308</v>
      </c>
    </row>
    <row r="68" spans="1:22" x14ac:dyDescent="0.25">
      <c r="A68" s="1">
        <v>80</v>
      </c>
      <c r="B68" s="2">
        <v>45043</v>
      </c>
      <c r="C68">
        <v>0</v>
      </c>
      <c r="D68">
        <v>80988</v>
      </c>
      <c r="E68">
        <v>81175</v>
      </c>
      <c r="F68">
        <v>80065</v>
      </c>
      <c r="G68">
        <v>80317</v>
      </c>
      <c r="H68">
        <v>804009</v>
      </c>
      <c r="I68">
        <v>1008.97</v>
      </c>
      <c r="J68">
        <v>0</v>
      </c>
      <c r="K68">
        <v>1</v>
      </c>
      <c r="L68">
        <v>334</v>
      </c>
      <c r="M68">
        <v>667</v>
      </c>
      <c r="N68">
        <v>334</v>
      </c>
      <c r="O68">
        <v>0</v>
      </c>
      <c r="P68">
        <v>334</v>
      </c>
      <c r="Q68">
        <f t="shared" si="6"/>
        <v>2023</v>
      </c>
      <c r="R68">
        <f t="shared" si="7"/>
        <v>4</v>
      </c>
      <c r="S68" s="4">
        <f t="shared" si="8"/>
        <v>324</v>
      </c>
      <c r="T68">
        <f t="shared" ref="T68:T131" si="10">ROUNDDOWN(V67*$Y$2/L68,0)</f>
        <v>6</v>
      </c>
      <c r="U68" s="4">
        <f t="shared" si="9"/>
        <v>1944</v>
      </c>
      <c r="V68" s="4">
        <f t="shared" ref="V68:V131" si="11">V67+U68</f>
        <v>211252</v>
      </c>
    </row>
    <row r="69" spans="1:22" x14ac:dyDescent="0.25">
      <c r="A69" s="1">
        <v>81</v>
      </c>
      <c r="B69" s="2">
        <v>45044</v>
      </c>
      <c r="C69">
        <v>0</v>
      </c>
      <c r="D69">
        <v>80317</v>
      </c>
      <c r="E69">
        <v>80676</v>
      </c>
      <c r="F69">
        <v>78250</v>
      </c>
      <c r="G69">
        <v>79310</v>
      </c>
      <c r="H69">
        <v>1791264</v>
      </c>
      <c r="I69">
        <v>1110.19</v>
      </c>
      <c r="J69">
        <v>0</v>
      </c>
      <c r="K69">
        <v>0</v>
      </c>
      <c r="L69">
        <v>336</v>
      </c>
      <c r="M69">
        <v>673</v>
      </c>
      <c r="N69">
        <v>0</v>
      </c>
      <c r="O69">
        <v>673</v>
      </c>
      <c r="P69">
        <v>673</v>
      </c>
      <c r="Q69">
        <f t="shared" si="6"/>
        <v>2023</v>
      </c>
      <c r="R69">
        <f t="shared" si="7"/>
        <v>4</v>
      </c>
      <c r="S69" s="4">
        <f t="shared" si="8"/>
        <v>663</v>
      </c>
      <c r="T69">
        <f t="shared" si="10"/>
        <v>6</v>
      </c>
      <c r="U69" s="4">
        <f t="shared" si="9"/>
        <v>3978</v>
      </c>
      <c r="V69" s="4">
        <f t="shared" si="11"/>
        <v>215230</v>
      </c>
    </row>
    <row r="70" spans="1:22" x14ac:dyDescent="0.25">
      <c r="A70" s="1">
        <v>82</v>
      </c>
      <c r="B70" s="2">
        <v>45048</v>
      </c>
      <c r="C70">
        <v>0</v>
      </c>
      <c r="D70">
        <v>79338</v>
      </c>
      <c r="E70">
        <v>79630</v>
      </c>
      <c r="F70">
        <v>78206</v>
      </c>
      <c r="G70">
        <v>78586</v>
      </c>
      <c r="H70">
        <v>1168695</v>
      </c>
      <c r="I70">
        <v>1132.6099999999999</v>
      </c>
      <c r="J70">
        <v>0</v>
      </c>
      <c r="K70">
        <v>0</v>
      </c>
      <c r="L70">
        <v>370</v>
      </c>
      <c r="M70">
        <v>740</v>
      </c>
      <c r="N70">
        <v>0</v>
      </c>
      <c r="O70">
        <v>740</v>
      </c>
      <c r="P70">
        <v>740</v>
      </c>
      <c r="Q70">
        <f t="shared" si="6"/>
        <v>2023</v>
      </c>
      <c r="R70">
        <f t="shared" si="7"/>
        <v>5</v>
      </c>
      <c r="S70" s="4">
        <f t="shared" si="8"/>
        <v>730</v>
      </c>
      <c r="T70">
        <f t="shared" si="10"/>
        <v>5</v>
      </c>
      <c r="U70" s="4">
        <f t="shared" si="9"/>
        <v>3650</v>
      </c>
      <c r="V70" s="4">
        <f t="shared" si="11"/>
        <v>218880</v>
      </c>
    </row>
    <row r="71" spans="1:22" x14ac:dyDescent="0.25">
      <c r="A71" s="1">
        <v>83</v>
      </c>
      <c r="B71" s="2">
        <v>45049</v>
      </c>
      <c r="C71">
        <v>0</v>
      </c>
      <c r="D71">
        <v>78586</v>
      </c>
      <c r="E71">
        <v>78848</v>
      </c>
      <c r="F71">
        <v>77641</v>
      </c>
      <c r="G71">
        <v>78220</v>
      </c>
      <c r="H71">
        <v>958268</v>
      </c>
      <c r="I71">
        <v>1137.92</v>
      </c>
      <c r="J71">
        <v>0</v>
      </c>
      <c r="K71">
        <v>0</v>
      </c>
      <c r="L71">
        <v>378</v>
      </c>
      <c r="M71">
        <v>755</v>
      </c>
      <c r="N71">
        <v>0</v>
      </c>
      <c r="O71">
        <v>415</v>
      </c>
      <c r="P71">
        <v>415</v>
      </c>
      <c r="Q71">
        <f t="shared" si="6"/>
        <v>2023</v>
      </c>
      <c r="R71">
        <f t="shared" si="7"/>
        <v>5</v>
      </c>
      <c r="S71" s="4">
        <f t="shared" si="8"/>
        <v>405</v>
      </c>
      <c r="T71">
        <f t="shared" si="10"/>
        <v>5</v>
      </c>
      <c r="U71" s="4">
        <f t="shared" si="9"/>
        <v>2025</v>
      </c>
      <c r="V71" s="4">
        <f t="shared" si="11"/>
        <v>220905</v>
      </c>
    </row>
    <row r="72" spans="1:22" x14ac:dyDescent="0.25">
      <c r="A72" s="1">
        <v>84</v>
      </c>
      <c r="B72" s="2">
        <v>45050</v>
      </c>
      <c r="C72">
        <v>0</v>
      </c>
      <c r="D72">
        <v>78239</v>
      </c>
      <c r="E72">
        <v>78280</v>
      </c>
      <c r="F72">
        <v>76406</v>
      </c>
      <c r="G72">
        <v>77136</v>
      </c>
      <c r="H72">
        <v>1437724</v>
      </c>
      <c r="I72">
        <v>1190.5</v>
      </c>
      <c r="J72">
        <v>0</v>
      </c>
      <c r="K72">
        <v>0</v>
      </c>
      <c r="L72">
        <v>379</v>
      </c>
      <c r="M72">
        <v>759</v>
      </c>
      <c r="N72">
        <v>0</v>
      </c>
      <c r="O72">
        <v>759</v>
      </c>
      <c r="P72">
        <v>759</v>
      </c>
      <c r="Q72">
        <f t="shared" si="6"/>
        <v>2023</v>
      </c>
      <c r="R72">
        <f t="shared" si="7"/>
        <v>5</v>
      </c>
      <c r="S72" s="4">
        <f t="shared" si="8"/>
        <v>749</v>
      </c>
      <c r="T72">
        <f t="shared" si="10"/>
        <v>5</v>
      </c>
      <c r="U72" s="4">
        <f t="shared" si="9"/>
        <v>3745</v>
      </c>
      <c r="V72" s="4">
        <f t="shared" si="11"/>
        <v>224650</v>
      </c>
    </row>
    <row r="73" spans="1:22" x14ac:dyDescent="0.25">
      <c r="A73" s="1">
        <v>85</v>
      </c>
      <c r="B73" s="2">
        <v>45051</v>
      </c>
      <c r="C73">
        <v>0</v>
      </c>
      <c r="D73">
        <v>77086</v>
      </c>
      <c r="E73">
        <v>77086</v>
      </c>
      <c r="F73">
        <v>75424</v>
      </c>
      <c r="G73">
        <v>76421</v>
      </c>
      <c r="H73">
        <v>1595824</v>
      </c>
      <c r="I73">
        <v>1227.75</v>
      </c>
      <c r="J73">
        <v>0</v>
      </c>
      <c r="K73">
        <v>0</v>
      </c>
      <c r="L73">
        <v>397</v>
      </c>
      <c r="M73">
        <v>794</v>
      </c>
      <c r="N73">
        <v>0</v>
      </c>
      <c r="O73">
        <v>757</v>
      </c>
      <c r="P73">
        <v>757</v>
      </c>
      <c r="Q73">
        <f t="shared" si="6"/>
        <v>2023</v>
      </c>
      <c r="R73">
        <f t="shared" si="7"/>
        <v>5</v>
      </c>
      <c r="S73" s="4">
        <f t="shared" si="8"/>
        <v>747</v>
      </c>
      <c r="T73">
        <f t="shared" si="10"/>
        <v>5</v>
      </c>
      <c r="U73" s="4">
        <f t="shared" si="9"/>
        <v>3735</v>
      </c>
      <c r="V73" s="4">
        <f t="shared" si="11"/>
        <v>228385</v>
      </c>
    </row>
    <row r="74" spans="1:22" x14ac:dyDescent="0.25">
      <c r="A74" s="1">
        <v>86</v>
      </c>
      <c r="B74" s="2">
        <v>45054</v>
      </c>
      <c r="C74">
        <v>0</v>
      </c>
      <c r="D74">
        <v>76449</v>
      </c>
      <c r="E74">
        <v>77610</v>
      </c>
      <c r="F74">
        <v>75566</v>
      </c>
      <c r="G74">
        <v>77276</v>
      </c>
      <c r="H74">
        <v>763645</v>
      </c>
      <c r="I74">
        <v>1286.05</v>
      </c>
      <c r="J74">
        <v>1</v>
      </c>
      <c r="K74">
        <v>0</v>
      </c>
      <c r="L74">
        <v>409</v>
      </c>
      <c r="M74">
        <v>818</v>
      </c>
      <c r="N74">
        <v>0</v>
      </c>
      <c r="O74">
        <v>409</v>
      </c>
      <c r="P74">
        <v>409</v>
      </c>
      <c r="Q74">
        <f t="shared" si="6"/>
        <v>2023</v>
      </c>
      <c r="R74">
        <f t="shared" si="7"/>
        <v>5</v>
      </c>
      <c r="S74" s="4">
        <f t="shared" si="8"/>
        <v>399</v>
      </c>
      <c r="T74">
        <f t="shared" si="10"/>
        <v>5</v>
      </c>
      <c r="U74" s="4">
        <f t="shared" si="9"/>
        <v>1995</v>
      </c>
      <c r="V74" s="4">
        <f t="shared" si="11"/>
        <v>230380</v>
      </c>
    </row>
    <row r="75" spans="1:22" x14ac:dyDescent="0.25">
      <c r="A75" s="1">
        <v>87</v>
      </c>
      <c r="B75" s="2">
        <v>45056</v>
      </c>
      <c r="C75">
        <v>0</v>
      </c>
      <c r="D75">
        <v>77257</v>
      </c>
      <c r="E75">
        <v>77275</v>
      </c>
      <c r="F75">
        <v>75205</v>
      </c>
      <c r="G75">
        <v>75289</v>
      </c>
      <c r="H75">
        <v>1353899</v>
      </c>
      <c r="I75">
        <v>1342.12</v>
      </c>
      <c r="J75">
        <v>0</v>
      </c>
      <c r="K75">
        <v>1</v>
      </c>
      <c r="L75">
        <v>429</v>
      </c>
      <c r="M75">
        <v>857</v>
      </c>
      <c r="N75">
        <v>429</v>
      </c>
      <c r="O75">
        <v>0</v>
      </c>
      <c r="P75">
        <v>429</v>
      </c>
      <c r="Q75">
        <f t="shared" si="6"/>
        <v>2023</v>
      </c>
      <c r="R75">
        <f t="shared" si="7"/>
        <v>5</v>
      </c>
      <c r="S75" s="4">
        <f t="shared" si="8"/>
        <v>419</v>
      </c>
      <c r="T75">
        <f t="shared" si="10"/>
        <v>5</v>
      </c>
      <c r="U75" s="4">
        <f t="shared" si="9"/>
        <v>2095</v>
      </c>
      <c r="V75" s="4">
        <f t="shared" si="11"/>
        <v>232475</v>
      </c>
    </row>
    <row r="76" spans="1:22" x14ac:dyDescent="0.25">
      <c r="A76" s="1">
        <v>88</v>
      </c>
      <c r="B76" s="2">
        <v>45057</v>
      </c>
      <c r="C76">
        <v>0</v>
      </c>
      <c r="D76">
        <v>75291</v>
      </c>
      <c r="E76">
        <v>77687</v>
      </c>
      <c r="F76">
        <v>74736</v>
      </c>
      <c r="G76">
        <v>77423</v>
      </c>
      <c r="H76">
        <v>2284511</v>
      </c>
      <c r="I76">
        <v>1457.04</v>
      </c>
      <c r="J76">
        <v>1</v>
      </c>
      <c r="K76">
        <v>0</v>
      </c>
      <c r="L76">
        <v>447</v>
      </c>
      <c r="M76">
        <v>895</v>
      </c>
      <c r="N76">
        <v>0</v>
      </c>
      <c r="O76">
        <v>447</v>
      </c>
      <c r="P76">
        <v>447</v>
      </c>
      <c r="Q76">
        <f t="shared" si="6"/>
        <v>2023</v>
      </c>
      <c r="R76">
        <f t="shared" si="7"/>
        <v>5</v>
      </c>
      <c r="S76" s="4">
        <f t="shared" si="8"/>
        <v>437</v>
      </c>
      <c r="T76">
        <f t="shared" si="10"/>
        <v>5</v>
      </c>
      <c r="U76" s="4">
        <f t="shared" si="9"/>
        <v>2185</v>
      </c>
      <c r="V76" s="4">
        <f t="shared" si="11"/>
        <v>234660</v>
      </c>
    </row>
    <row r="77" spans="1:22" x14ac:dyDescent="0.25">
      <c r="A77" s="1">
        <v>89</v>
      </c>
      <c r="B77" s="2">
        <v>45058</v>
      </c>
      <c r="C77">
        <v>0</v>
      </c>
      <c r="D77">
        <v>77367</v>
      </c>
      <c r="E77">
        <v>78129</v>
      </c>
      <c r="F77">
        <v>76530</v>
      </c>
      <c r="G77">
        <v>77699</v>
      </c>
      <c r="H77">
        <v>1372044</v>
      </c>
      <c r="I77">
        <v>1467.18</v>
      </c>
      <c r="J77">
        <v>1</v>
      </c>
      <c r="K77">
        <v>1</v>
      </c>
      <c r="L77">
        <v>486</v>
      </c>
      <c r="M77">
        <v>971</v>
      </c>
      <c r="N77">
        <v>341</v>
      </c>
      <c r="O77">
        <v>0</v>
      </c>
      <c r="P77">
        <v>341</v>
      </c>
      <c r="Q77">
        <f t="shared" si="6"/>
        <v>2023</v>
      </c>
      <c r="R77">
        <f t="shared" si="7"/>
        <v>5</v>
      </c>
      <c r="S77" s="4">
        <f t="shared" si="8"/>
        <v>331</v>
      </c>
      <c r="T77">
        <f t="shared" si="10"/>
        <v>4</v>
      </c>
      <c r="U77" s="4">
        <f t="shared" si="9"/>
        <v>1324</v>
      </c>
      <c r="V77" s="4">
        <f t="shared" si="11"/>
        <v>235984</v>
      </c>
    </row>
    <row r="78" spans="1:22" x14ac:dyDescent="0.25">
      <c r="A78" s="1">
        <v>90</v>
      </c>
      <c r="B78" s="2">
        <v>45061</v>
      </c>
      <c r="C78">
        <v>0</v>
      </c>
      <c r="D78">
        <v>77720</v>
      </c>
      <c r="E78">
        <v>79477</v>
      </c>
      <c r="F78">
        <v>77720</v>
      </c>
      <c r="G78">
        <v>79234</v>
      </c>
      <c r="H78">
        <v>1212820</v>
      </c>
      <c r="I78">
        <v>1489.38</v>
      </c>
      <c r="J78">
        <v>1</v>
      </c>
      <c r="K78">
        <v>1</v>
      </c>
      <c r="L78">
        <v>489</v>
      </c>
      <c r="M78">
        <v>978</v>
      </c>
      <c r="N78">
        <v>978</v>
      </c>
      <c r="O78">
        <v>0</v>
      </c>
      <c r="P78">
        <v>978</v>
      </c>
      <c r="Q78">
        <f t="shared" si="6"/>
        <v>2023</v>
      </c>
      <c r="R78">
        <f t="shared" si="7"/>
        <v>5</v>
      </c>
      <c r="S78" s="4">
        <f t="shared" si="8"/>
        <v>968</v>
      </c>
      <c r="T78">
        <f t="shared" si="10"/>
        <v>4</v>
      </c>
      <c r="U78" s="4">
        <f t="shared" si="9"/>
        <v>3872</v>
      </c>
      <c r="V78" s="4">
        <f t="shared" si="11"/>
        <v>239856</v>
      </c>
    </row>
    <row r="79" spans="1:22" x14ac:dyDescent="0.25">
      <c r="A79" s="1">
        <v>91</v>
      </c>
      <c r="B79" s="2">
        <v>45062</v>
      </c>
      <c r="C79">
        <v>0</v>
      </c>
      <c r="D79">
        <v>79221</v>
      </c>
      <c r="E79">
        <v>80330</v>
      </c>
      <c r="F79">
        <v>79221</v>
      </c>
      <c r="G79">
        <v>80330</v>
      </c>
      <c r="H79">
        <v>1278732</v>
      </c>
      <c r="I79">
        <v>1462.21</v>
      </c>
      <c r="J79">
        <v>1</v>
      </c>
      <c r="K79">
        <v>1</v>
      </c>
      <c r="L79">
        <v>496</v>
      </c>
      <c r="M79">
        <v>993</v>
      </c>
      <c r="N79">
        <v>993</v>
      </c>
      <c r="O79">
        <v>0</v>
      </c>
      <c r="P79">
        <v>993</v>
      </c>
      <c r="Q79">
        <f t="shared" si="6"/>
        <v>2023</v>
      </c>
      <c r="R79">
        <f t="shared" si="7"/>
        <v>5</v>
      </c>
      <c r="S79" s="4">
        <f t="shared" si="8"/>
        <v>983</v>
      </c>
      <c r="T79">
        <f t="shared" si="10"/>
        <v>4</v>
      </c>
      <c r="U79" s="4">
        <f t="shared" si="9"/>
        <v>3932</v>
      </c>
      <c r="V79" s="4">
        <f t="shared" si="11"/>
        <v>243788</v>
      </c>
    </row>
    <row r="80" spans="1:22" x14ac:dyDescent="0.25">
      <c r="A80" s="1">
        <v>92</v>
      </c>
      <c r="B80" s="2">
        <v>45063</v>
      </c>
      <c r="C80">
        <v>0</v>
      </c>
      <c r="D80">
        <v>80330</v>
      </c>
      <c r="E80">
        <v>80682</v>
      </c>
      <c r="F80">
        <v>79006</v>
      </c>
      <c r="G80">
        <v>79105</v>
      </c>
      <c r="H80">
        <v>1455318</v>
      </c>
      <c r="I80">
        <v>1477.48</v>
      </c>
      <c r="J80">
        <v>0</v>
      </c>
      <c r="K80">
        <v>1</v>
      </c>
      <c r="L80">
        <v>487</v>
      </c>
      <c r="M80">
        <v>975</v>
      </c>
      <c r="N80">
        <v>487</v>
      </c>
      <c r="O80">
        <v>0</v>
      </c>
      <c r="P80">
        <v>487</v>
      </c>
      <c r="Q80">
        <f t="shared" si="6"/>
        <v>2023</v>
      </c>
      <c r="R80">
        <f t="shared" si="7"/>
        <v>5</v>
      </c>
      <c r="S80" s="4">
        <f t="shared" si="8"/>
        <v>477</v>
      </c>
      <c r="T80">
        <f t="shared" si="10"/>
        <v>5</v>
      </c>
      <c r="U80" s="4">
        <f t="shared" si="9"/>
        <v>2385</v>
      </c>
      <c r="V80" s="4">
        <f t="shared" si="11"/>
        <v>246173</v>
      </c>
    </row>
    <row r="81" spans="1:22" x14ac:dyDescent="0.25">
      <c r="A81" s="1">
        <v>93</v>
      </c>
      <c r="B81" s="2">
        <v>45064</v>
      </c>
      <c r="C81">
        <v>0</v>
      </c>
      <c r="D81">
        <v>79122</v>
      </c>
      <c r="E81">
        <v>80200</v>
      </c>
      <c r="F81">
        <v>78827</v>
      </c>
      <c r="G81">
        <v>80077</v>
      </c>
      <c r="H81">
        <v>1407010</v>
      </c>
      <c r="I81">
        <v>1470.02</v>
      </c>
      <c r="J81">
        <v>1</v>
      </c>
      <c r="K81">
        <v>0</v>
      </c>
      <c r="L81">
        <v>492</v>
      </c>
      <c r="M81">
        <v>985</v>
      </c>
      <c r="N81">
        <v>0</v>
      </c>
      <c r="O81">
        <v>492</v>
      </c>
      <c r="P81">
        <v>492</v>
      </c>
      <c r="Q81">
        <f t="shared" si="6"/>
        <v>2023</v>
      </c>
      <c r="R81">
        <f t="shared" si="7"/>
        <v>5</v>
      </c>
      <c r="S81" s="4">
        <f t="shared" si="8"/>
        <v>482</v>
      </c>
      <c r="T81">
        <f t="shared" si="10"/>
        <v>5</v>
      </c>
      <c r="U81" s="4">
        <f t="shared" si="9"/>
        <v>2410</v>
      </c>
      <c r="V81" s="4">
        <f t="shared" si="11"/>
        <v>248583</v>
      </c>
    </row>
    <row r="82" spans="1:22" x14ac:dyDescent="0.25">
      <c r="A82" s="1">
        <v>94</v>
      </c>
      <c r="B82" s="2">
        <v>45065</v>
      </c>
      <c r="C82">
        <v>0</v>
      </c>
      <c r="D82">
        <v>80065</v>
      </c>
      <c r="E82">
        <v>80082</v>
      </c>
      <c r="F82">
        <v>79220</v>
      </c>
      <c r="G82">
        <v>79570</v>
      </c>
      <c r="H82">
        <v>824836</v>
      </c>
      <c r="I82">
        <v>1426.59</v>
      </c>
      <c r="J82">
        <v>0</v>
      </c>
      <c r="K82">
        <v>1</v>
      </c>
      <c r="L82">
        <v>490</v>
      </c>
      <c r="M82">
        <v>980</v>
      </c>
      <c r="N82">
        <v>490</v>
      </c>
      <c r="O82">
        <v>0</v>
      </c>
      <c r="P82">
        <v>490</v>
      </c>
      <c r="Q82">
        <f t="shared" si="6"/>
        <v>2023</v>
      </c>
      <c r="R82">
        <f t="shared" si="7"/>
        <v>5</v>
      </c>
      <c r="S82" s="4">
        <f t="shared" si="8"/>
        <v>480</v>
      </c>
      <c r="T82">
        <f t="shared" si="10"/>
        <v>5</v>
      </c>
      <c r="U82" s="4">
        <f t="shared" si="9"/>
        <v>2400</v>
      </c>
      <c r="V82" s="4">
        <f t="shared" si="11"/>
        <v>250983</v>
      </c>
    </row>
    <row r="83" spans="1:22" x14ac:dyDescent="0.25">
      <c r="A83" s="1">
        <v>95</v>
      </c>
      <c r="B83" s="2">
        <v>45068</v>
      </c>
      <c r="C83">
        <v>0</v>
      </c>
      <c r="D83">
        <v>79574</v>
      </c>
      <c r="E83">
        <v>79995</v>
      </c>
      <c r="F83">
        <v>79275</v>
      </c>
      <c r="G83">
        <v>79745</v>
      </c>
      <c r="H83">
        <v>846144</v>
      </c>
      <c r="I83">
        <v>1376.12</v>
      </c>
      <c r="J83">
        <v>1</v>
      </c>
      <c r="K83">
        <v>0</v>
      </c>
      <c r="L83">
        <v>476</v>
      </c>
      <c r="M83">
        <v>951</v>
      </c>
      <c r="N83">
        <v>0</v>
      </c>
      <c r="O83">
        <v>-213</v>
      </c>
      <c r="P83">
        <v>-213</v>
      </c>
      <c r="Q83">
        <f t="shared" si="6"/>
        <v>2023</v>
      </c>
      <c r="R83">
        <f t="shared" si="7"/>
        <v>5</v>
      </c>
      <c r="S83" s="4">
        <f t="shared" si="8"/>
        <v>-223</v>
      </c>
      <c r="T83">
        <f t="shared" si="10"/>
        <v>5</v>
      </c>
      <c r="U83" s="4">
        <f t="shared" si="9"/>
        <v>-1115</v>
      </c>
      <c r="V83" s="4">
        <f t="shared" si="11"/>
        <v>249868</v>
      </c>
    </row>
    <row r="84" spans="1:22" x14ac:dyDescent="0.25">
      <c r="A84" s="1">
        <v>96</v>
      </c>
      <c r="B84" s="2">
        <v>45069</v>
      </c>
      <c r="C84">
        <v>0</v>
      </c>
      <c r="D84">
        <v>79752</v>
      </c>
      <c r="E84">
        <v>80293</v>
      </c>
      <c r="F84">
        <v>79441</v>
      </c>
      <c r="G84">
        <v>80048</v>
      </c>
      <c r="H84">
        <v>1011864</v>
      </c>
      <c r="I84">
        <v>1338.68</v>
      </c>
      <c r="J84">
        <v>1</v>
      </c>
      <c r="K84">
        <v>1</v>
      </c>
      <c r="L84">
        <v>459</v>
      </c>
      <c r="M84">
        <v>917</v>
      </c>
      <c r="N84">
        <v>308</v>
      </c>
      <c r="O84">
        <v>0</v>
      </c>
      <c r="P84">
        <v>308</v>
      </c>
      <c r="Q84">
        <f t="shared" si="6"/>
        <v>2023</v>
      </c>
      <c r="R84">
        <f t="shared" si="7"/>
        <v>5</v>
      </c>
      <c r="S84" s="4">
        <f t="shared" si="8"/>
        <v>298</v>
      </c>
      <c r="T84">
        <f t="shared" si="10"/>
        <v>5</v>
      </c>
      <c r="U84" s="4">
        <f t="shared" si="9"/>
        <v>1490</v>
      </c>
      <c r="V84" s="4">
        <f t="shared" si="11"/>
        <v>251358</v>
      </c>
    </row>
    <row r="85" spans="1:22" x14ac:dyDescent="0.25">
      <c r="A85" s="1">
        <v>97</v>
      </c>
      <c r="B85" s="2">
        <v>45070</v>
      </c>
      <c r="C85">
        <v>0</v>
      </c>
      <c r="D85">
        <v>80032</v>
      </c>
      <c r="E85">
        <v>80250</v>
      </c>
      <c r="F85">
        <v>79582</v>
      </c>
      <c r="G85">
        <v>79980</v>
      </c>
      <c r="H85">
        <v>694527</v>
      </c>
      <c r="I85">
        <v>1290.77</v>
      </c>
      <c r="J85">
        <v>0</v>
      </c>
      <c r="K85">
        <v>1</v>
      </c>
      <c r="L85">
        <v>446</v>
      </c>
      <c r="M85">
        <v>892</v>
      </c>
      <c r="N85">
        <v>-37</v>
      </c>
      <c r="O85">
        <v>0</v>
      </c>
      <c r="P85">
        <v>-37</v>
      </c>
      <c r="Q85">
        <f t="shared" si="6"/>
        <v>2023</v>
      </c>
      <c r="R85">
        <f t="shared" si="7"/>
        <v>5</v>
      </c>
      <c r="S85" s="4">
        <f t="shared" si="8"/>
        <v>-47</v>
      </c>
      <c r="T85">
        <f t="shared" si="10"/>
        <v>5</v>
      </c>
      <c r="U85" s="4">
        <f t="shared" si="9"/>
        <v>-235</v>
      </c>
      <c r="V85" s="4">
        <f t="shared" si="11"/>
        <v>251123</v>
      </c>
    </row>
    <row r="86" spans="1:22" x14ac:dyDescent="0.25">
      <c r="A86" s="1">
        <v>98</v>
      </c>
      <c r="B86" s="2">
        <v>45071</v>
      </c>
      <c r="C86">
        <v>0</v>
      </c>
      <c r="D86">
        <v>80017</v>
      </c>
      <c r="E86">
        <v>80220</v>
      </c>
      <c r="F86">
        <v>79512</v>
      </c>
      <c r="G86">
        <v>80074</v>
      </c>
      <c r="H86">
        <v>850172</v>
      </c>
      <c r="I86">
        <v>1249.1500000000001</v>
      </c>
      <c r="J86">
        <v>1</v>
      </c>
      <c r="K86">
        <v>0</v>
      </c>
      <c r="L86">
        <v>430</v>
      </c>
      <c r="M86">
        <v>861</v>
      </c>
      <c r="N86">
        <v>0</v>
      </c>
      <c r="O86">
        <v>-83</v>
      </c>
      <c r="P86">
        <v>-83</v>
      </c>
      <c r="Q86">
        <f t="shared" si="6"/>
        <v>2023</v>
      </c>
      <c r="R86">
        <f t="shared" si="7"/>
        <v>5</v>
      </c>
      <c r="S86" s="4">
        <f t="shared" si="8"/>
        <v>-93</v>
      </c>
      <c r="T86">
        <f t="shared" si="10"/>
        <v>5</v>
      </c>
      <c r="U86" s="4">
        <f t="shared" si="9"/>
        <v>-465</v>
      </c>
      <c r="V86" s="4">
        <f t="shared" si="11"/>
        <v>250658</v>
      </c>
    </row>
    <row r="87" spans="1:22" x14ac:dyDescent="0.25">
      <c r="A87" s="1">
        <v>99</v>
      </c>
      <c r="B87" s="2">
        <v>45072</v>
      </c>
      <c r="C87">
        <v>0</v>
      </c>
      <c r="D87">
        <v>80042</v>
      </c>
      <c r="E87">
        <v>80096</v>
      </c>
      <c r="F87">
        <v>79581</v>
      </c>
      <c r="G87">
        <v>79934</v>
      </c>
      <c r="H87">
        <v>658941</v>
      </c>
      <c r="I87">
        <v>1196.71</v>
      </c>
      <c r="J87">
        <v>0</v>
      </c>
      <c r="K87">
        <v>1</v>
      </c>
      <c r="L87">
        <v>416</v>
      </c>
      <c r="M87">
        <v>833</v>
      </c>
      <c r="N87">
        <v>-102</v>
      </c>
      <c r="O87">
        <v>0</v>
      </c>
      <c r="P87">
        <v>-102</v>
      </c>
      <c r="Q87">
        <f t="shared" si="6"/>
        <v>2023</v>
      </c>
      <c r="R87">
        <f t="shared" si="7"/>
        <v>5</v>
      </c>
      <c r="S87" s="4">
        <f t="shared" si="8"/>
        <v>-112</v>
      </c>
      <c r="T87">
        <f t="shared" si="10"/>
        <v>6</v>
      </c>
      <c r="U87" s="4">
        <f t="shared" si="9"/>
        <v>-672</v>
      </c>
      <c r="V87" s="4">
        <f t="shared" si="11"/>
        <v>249986</v>
      </c>
    </row>
    <row r="88" spans="1:22" x14ac:dyDescent="0.25">
      <c r="A88" s="1">
        <v>100</v>
      </c>
      <c r="B88" s="2">
        <v>45075</v>
      </c>
      <c r="C88">
        <v>0</v>
      </c>
      <c r="D88">
        <v>79934</v>
      </c>
      <c r="E88">
        <v>80932</v>
      </c>
      <c r="F88">
        <v>79731</v>
      </c>
      <c r="G88">
        <v>80848</v>
      </c>
      <c r="H88">
        <v>1082581</v>
      </c>
      <c r="I88">
        <v>1197.02</v>
      </c>
      <c r="J88">
        <v>1</v>
      </c>
      <c r="K88">
        <v>0</v>
      </c>
      <c r="L88">
        <v>399</v>
      </c>
      <c r="M88">
        <v>798</v>
      </c>
      <c r="N88">
        <v>0</v>
      </c>
      <c r="O88">
        <v>399</v>
      </c>
      <c r="P88">
        <v>399</v>
      </c>
      <c r="Q88">
        <f t="shared" si="6"/>
        <v>2023</v>
      </c>
      <c r="R88">
        <f t="shared" si="7"/>
        <v>5</v>
      </c>
      <c r="S88" s="4">
        <f t="shared" si="8"/>
        <v>389</v>
      </c>
      <c r="T88">
        <f t="shared" si="10"/>
        <v>6</v>
      </c>
      <c r="U88" s="4">
        <f t="shared" si="9"/>
        <v>2334</v>
      </c>
      <c r="V88" s="4">
        <f t="shared" si="11"/>
        <v>252320</v>
      </c>
    </row>
    <row r="89" spans="1:22" x14ac:dyDescent="0.25">
      <c r="A89" s="1">
        <v>101</v>
      </c>
      <c r="B89" s="2">
        <v>45076</v>
      </c>
      <c r="C89">
        <v>0</v>
      </c>
      <c r="D89">
        <v>80856</v>
      </c>
      <c r="E89">
        <v>81323</v>
      </c>
      <c r="F89">
        <v>80088</v>
      </c>
      <c r="G89">
        <v>80731</v>
      </c>
      <c r="H89">
        <v>1094854</v>
      </c>
      <c r="I89">
        <v>1199.73</v>
      </c>
      <c r="J89">
        <v>0</v>
      </c>
      <c r="K89">
        <v>1</v>
      </c>
      <c r="L89">
        <v>399</v>
      </c>
      <c r="M89">
        <v>798</v>
      </c>
      <c r="N89">
        <v>-10</v>
      </c>
      <c r="O89">
        <v>0</v>
      </c>
      <c r="P89">
        <v>-10</v>
      </c>
      <c r="Q89">
        <f t="shared" si="6"/>
        <v>2023</v>
      </c>
      <c r="R89">
        <f t="shared" si="7"/>
        <v>5</v>
      </c>
      <c r="S89" s="4">
        <f t="shared" si="8"/>
        <v>-20</v>
      </c>
      <c r="T89">
        <f t="shared" si="10"/>
        <v>6</v>
      </c>
      <c r="U89" s="4">
        <f t="shared" si="9"/>
        <v>-120</v>
      </c>
      <c r="V89" s="4">
        <f t="shared" si="11"/>
        <v>252200</v>
      </c>
    </row>
    <row r="90" spans="1:22" x14ac:dyDescent="0.25">
      <c r="A90" s="1">
        <v>102</v>
      </c>
      <c r="B90" s="2">
        <v>45077</v>
      </c>
      <c r="C90">
        <v>0</v>
      </c>
      <c r="D90">
        <v>80747</v>
      </c>
      <c r="E90">
        <v>81180</v>
      </c>
      <c r="F90">
        <v>80540</v>
      </c>
      <c r="G90">
        <v>80735</v>
      </c>
      <c r="H90">
        <v>1002344</v>
      </c>
      <c r="I90">
        <v>1159.75</v>
      </c>
      <c r="J90">
        <v>0</v>
      </c>
      <c r="K90">
        <v>0</v>
      </c>
      <c r="L90">
        <v>400</v>
      </c>
      <c r="M90">
        <v>800</v>
      </c>
      <c r="N90">
        <v>0</v>
      </c>
      <c r="O90">
        <v>67</v>
      </c>
      <c r="P90">
        <v>67</v>
      </c>
      <c r="Q90">
        <f t="shared" si="6"/>
        <v>2023</v>
      </c>
      <c r="R90">
        <f t="shared" si="7"/>
        <v>5</v>
      </c>
      <c r="S90" s="4">
        <f t="shared" si="8"/>
        <v>57</v>
      </c>
      <c r="T90">
        <f t="shared" si="10"/>
        <v>6</v>
      </c>
      <c r="U90" s="4">
        <f t="shared" si="9"/>
        <v>342</v>
      </c>
      <c r="V90" s="4">
        <f t="shared" si="11"/>
        <v>252542</v>
      </c>
    </row>
    <row r="91" spans="1:22" x14ac:dyDescent="0.25">
      <c r="A91" s="1">
        <v>103</v>
      </c>
      <c r="B91" s="2">
        <v>45078</v>
      </c>
      <c r="C91">
        <v>0</v>
      </c>
      <c r="D91">
        <v>80738</v>
      </c>
      <c r="E91">
        <v>81030</v>
      </c>
      <c r="F91">
        <v>80180</v>
      </c>
      <c r="G91">
        <v>80531</v>
      </c>
      <c r="H91">
        <v>993678</v>
      </c>
      <c r="I91">
        <v>1137.6199999999999</v>
      </c>
      <c r="J91">
        <v>0</v>
      </c>
      <c r="K91">
        <v>0</v>
      </c>
      <c r="L91">
        <v>387</v>
      </c>
      <c r="M91">
        <v>773</v>
      </c>
      <c r="N91">
        <v>0</v>
      </c>
      <c r="O91">
        <v>215</v>
      </c>
      <c r="P91">
        <v>215</v>
      </c>
      <c r="Q91">
        <f t="shared" si="6"/>
        <v>2023</v>
      </c>
      <c r="R91">
        <f t="shared" si="7"/>
        <v>6</v>
      </c>
      <c r="S91" s="4">
        <f t="shared" si="8"/>
        <v>205</v>
      </c>
      <c r="T91">
        <f t="shared" si="10"/>
        <v>6</v>
      </c>
      <c r="U91" s="4">
        <f t="shared" si="9"/>
        <v>1230</v>
      </c>
      <c r="V91" s="4">
        <f t="shared" si="11"/>
        <v>253772</v>
      </c>
    </row>
    <row r="92" spans="1:22" x14ac:dyDescent="0.25">
      <c r="A92" s="1">
        <v>104</v>
      </c>
      <c r="B92" s="2">
        <v>45079</v>
      </c>
      <c r="C92">
        <v>0</v>
      </c>
      <c r="D92">
        <v>80529</v>
      </c>
      <c r="E92">
        <v>81470</v>
      </c>
      <c r="F92">
        <v>80346</v>
      </c>
      <c r="G92">
        <v>81431</v>
      </c>
      <c r="H92">
        <v>1016842</v>
      </c>
      <c r="I92">
        <v>1136.6500000000001</v>
      </c>
      <c r="J92">
        <v>1</v>
      </c>
      <c r="K92">
        <v>0</v>
      </c>
      <c r="L92">
        <v>379</v>
      </c>
      <c r="M92">
        <v>758</v>
      </c>
      <c r="N92">
        <v>0</v>
      </c>
      <c r="O92">
        <v>379</v>
      </c>
      <c r="P92">
        <v>379</v>
      </c>
      <c r="Q92">
        <f t="shared" si="6"/>
        <v>2023</v>
      </c>
      <c r="R92">
        <f t="shared" si="7"/>
        <v>6</v>
      </c>
      <c r="S92" s="4">
        <f t="shared" si="8"/>
        <v>369</v>
      </c>
      <c r="T92">
        <f t="shared" si="10"/>
        <v>6</v>
      </c>
      <c r="U92" s="4">
        <f t="shared" si="9"/>
        <v>2214</v>
      </c>
      <c r="V92" s="4">
        <f t="shared" si="11"/>
        <v>255986</v>
      </c>
    </row>
    <row r="93" spans="1:22" x14ac:dyDescent="0.25">
      <c r="A93" s="1">
        <v>105</v>
      </c>
      <c r="B93" s="2">
        <v>45082</v>
      </c>
      <c r="C93">
        <v>0</v>
      </c>
      <c r="D93">
        <v>81437</v>
      </c>
      <c r="E93">
        <v>81734</v>
      </c>
      <c r="F93">
        <v>80480</v>
      </c>
      <c r="G93">
        <v>80749</v>
      </c>
      <c r="H93">
        <v>901493</v>
      </c>
      <c r="I93">
        <v>1145.03</v>
      </c>
      <c r="J93">
        <v>0</v>
      </c>
      <c r="K93">
        <v>1</v>
      </c>
      <c r="L93">
        <v>379</v>
      </c>
      <c r="M93">
        <v>758</v>
      </c>
      <c r="N93">
        <v>379</v>
      </c>
      <c r="O93">
        <v>0</v>
      </c>
      <c r="P93">
        <v>379</v>
      </c>
      <c r="Q93">
        <f t="shared" si="6"/>
        <v>2023</v>
      </c>
      <c r="R93">
        <f t="shared" si="7"/>
        <v>6</v>
      </c>
      <c r="S93" s="4">
        <f t="shared" si="8"/>
        <v>369</v>
      </c>
      <c r="T93">
        <f t="shared" si="10"/>
        <v>6</v>
      </c>
      <c r="U93" s="4">
        <f t="shared" si="9"/>
        <v>2214</v>
      </c>
      <c r="V93" s="4">
        <f t="shared" si="11"/>
        <v>258200</v>
      </c>
    </row>
    <row r="94" spans="1:22" x14ac:dyDescent="0.25">
      <c r="A94" s="1">
        <v>106</v>
      </c>
      <c r="B94" s="2">
        <v>45083</v>
      </c>
      <c r="C94">
        <v>0</v>
      </c>
      <c r="D94">
        <v>80750</v>
      </c>
      <c r="E94">
        <v>81573</v>
      </c>
      <c r="F94">
        <v>80635</v>
      </c>
      <c r="G94">
        <v>81375</v>
      </c>
      <c r="H94">
        <v>788905</v>
      </c>
      <c r="I94">
        <v>1130.24</v>
      </c>
      <c r="J94">
        <v>1</v>
      </c>
      <c r="K94">
        <v>0</v>
      </c>
      <c r="L94">
        <v>382</v>
      </c>
      <c r="M94">
        <v>763</v>
      </c>
      <c r="N94">
        <v>0</v>
      </c>
      <c r="O94">
        <v>-650</v>
      </c>
      <c r="P94">
        <v>-650</v>
      </c>
      <c r="Q94">
        <f t="shared" si="6"/>
        <v>2023</v>
      </c>
      <c r="R94">
        <f t="shared" si="7"/>
        <v>6</v>
      </c>
      <c r="S94" s="4">
        <f t="shared" si="8"/>
        <v>-660</v>
      </c>
      <c r="T94">
        <f t="shared" si="10"/>
        <v>6</v>
      </c>
      <c r="U94" s="4">
        <f t="shared" si="9"/>
        <v>-3960</v>
      </c>
      <c r="V94" s="4">
        <f t="shared" si="11"/>
        <v>254240</v>
      </c>
    </row>
    <row r="95" spans="1:22" x14ac:dyDescent="0.25">
      <c r="A95" s="1">
        <v>107</v>
      </c>
      <c r="B95" s="2">
        <v>45084</v>
      </c>
      <c r="C95">
        <v>0</v>
      </c>
      <c r="D95">
        <v>81375</v>
      </c>
      <c r="E95">
        <v>81990</v>
      </c>
      <c r="F95">
        <v>81128</v>
      </c>
      <c r="G95">
        <v>81884</v>
      </c>
      <c r="H95">
        <v>846180</v>
      </c>
      <c r="I95">
        <v>1111.08</v>
      </c>
      <c r="J95">
        <v>1</v>
      </c>
      <c r="K95">
        <v>1</v>
      </c>
      <c r="L95">
        <v>377</v>
      </c>
      <c r="M95">
        <v>753</v>
      </c>
      <c r="N95">
        <v>519</v>
      </c>
      <c r="O95">
        <v>0</v>
      </c>
      <c r="P95">
        <v>519</v>
      </c>
      <c r="Q95">
        <f t="shared" si="6"/>
        <v>2023</v>
      </c>
      <c r="R95">
        <f t="shared" si="7"/>
        <v>6</v>
      </c>
      <c r="S95" s="4">
        <f t="shared" si="8"/>
        <v>509</v>
      </c>
      <c r="T95">
        <f t="shared" si="10"/>
        <v>6</v>
      </c>
      <c r="U95" s="4">
        <f t="shared" si="9"/>
        <v>3054</v>
      </c>
      <c r="V95" s="4">
        <f t="shared" si="11"/>
        <v>257294</v>
      </c>
    </row>
    <row r="96" spans="1:22" x14ac:dyDescent="0.25">
      <c r="A96" s="1">
        <v>108</v>
      </c>
      <c r="B96" s="2">
        <v>45085</v>
      </c>
      <c r="C96">
        <v>0</v>
      </c>
      <c r="D96">
        <v>81883</v>
      </c>
      <c r="E96">
        <v>82769</v>
      </c>
      <c r="F96">
        <v>81751</v>
      </c>
      <c r="G96">
        <v>82685</v>
      </c>
      <c r="H96">
        <v>873135</v>
      </c>
      <c r="I96">
        <v>1104.43</v>
      </c>
      <c r="J96">
        <v>1</v>
      </c>
      <c r="K96">
        <v>1</v>
      </c>
      <c r="L96">
        <v>370</v>
      </c>
      <c r="M96">
        <v>741</v>
      </c>
      <c r="N96">
        <v>741</v>
      </c>
      <c r="O96">
        <v>0</v>
      </c>
      <c r="P96">
        <v>741</v>
      </c>
      <c r="Q96">
        <f t="shared" si="6"/>
        <v>2023</v>
      </c>
      <c r="R96">
        <f t="shared" si="7"/>
        <v>6</v>
      </c>
      <c r="S96" s="4">
        <f t="shared" si="8"/>
        <v>731</v>
      </c>
      <c r="T96">
        <f t="shared" si="10"/>
        <v>6</v>
      </c>
      <c r="U96" s="4">
        <f t="shared" si="9"/>
        <v>4386</v>
      </c>
      <c r="V96" s="4">
        <f t="shared" si="11"/>
        <v>261680</v>
      </c>
    </row>
    <row r="97" spans="1:22" x14ac:dyDescent="0.25">
      <c r="A97" s="1">
        <v>109</v>
      </c>
      <c r="B97" s="2">
        <v>45086</v>
      </c>
      <c r="C97">
        <v>0</v>
      </c>
      <c r="D97">
        <v>82693</v>
      </c>
      <c r="E97">
        <v>83010</v>
      </c>
      <c r="F97">
        <v>82150</v>
      </c>
      <c r="G97">
        <v>82462</v>
      </c>
      <c r="H97">
        <v>910174</v>
      </c>
      <c r="I97">
        <v>1086.98</v>
      </c>
      <c r="J97">
        <v>0</v>
      </c>
      <c r="K97">
        <v>1</v>
      </c>
      <c r="L97">
        <v>368</v>
      </c>
      <c r="M97">
        <v>736</v>
      </c>
      <c r="N97">
        <v>-125</v>
      </c>
      <c r="O97">
        <v>0</v>
      </c>
      <c r="P97">
        <v>-125</v>
      </c>
      <c r="Q97">
        <f t="shared" si="6"/>
        <v>2023</v>
      </c>
      <c r="R97">
        <f t="shared" si="7"/>
        <v>6</v>
      </c>
      <c r="S97" s="4">
        <f t="shared" si="8"/>
        <v>-135</v>
      </c>
      <c r="T97">
        <f t="shared" si="10"/>
        <v>7</v>
      </c>
      <c r="U97" s="4">
        <f t="shared" si="9"/>
        <v>-945</v>
      </c>
      <c r="V97" s="4">
        <f t="shared" si="11"/>
        <v>260735</v>
      </c>
    </row>
    <row r="98" spans="1:22" x14ac:dyDescent="0.25">
      <c r="A98" s="1">
        <v>110</v>
      </c>
      <c r="B98" s="2">
        <v>45090</v>
      </c>
      <c r="C98">
        <v>0</v>
      </c>
      <c r="D98">
        <v>82516</v>
      </c>
      <c r="E98">
        <v>84675</v>
      </c>
      <c r="F98">
        <v>82516</v>
      </c>
      <c r="G98">
        <v>84541</v>
      </c>
      <c r="H98">
        <v>1705968</v>
      </c>
      <c r="I98">
        <v>1167.4100000000001</v>
      </c>
      <c r="J98">
        <v>1</v>
      </c>
      <c r="K98">
        <v>0</v>
      </c>
      <c r="L98">
        <v>362</v>
      </c>
      <c r="M98">
        <v>725</v>
      </c>
      <c r="N98">
        <v>0</v>
      </c>
      <c r="O98">
        <v>362</v>
      </c>
      <c r="P98">
        <v>362</v>
      </c>
      <c r="Q98">
        <f t="shared" si="6"/>
        <v>2023</v>
      </c>
      <c r="R98">
        <f t="shared" si="7"/>
        <v>6</v>
      </c>
      <c r="S98" s="4">
        <f t="shared" si="8"/>
        <v>352</v>
      </c>
      <c r="T98">
        <f t="shared" si="10"/>
        <v>7</v>
      </c>
      <c r="U98" s="4">
        <f t="shared" si="9"/>
        <v>2464</v>
      </c>
      <c r="V98" s="4">
        <f t="shared" si="11"/>
        <v>263199</v>
      </c>
    </row>
    <row r="99" spans="1:22" x14ac:dyDescent="0.25">
      <c r="A99" s="1">
        <v>111</v>
      </c>
      <c r="B99" s="2">
        <v>45091</v>
      </c>
      <c r="C99">
        <v>0</v>
      </c>
      <c r="D99">
        <v>83645</v>
      </c>
      <c r="E99">
        <v>84166</v>
      </c>
      <c r="F99">
        <v>82820</v>
      </c>
      <c r="G99">
        <v>83633</v>
      </c>
      <c r="H99">
        <v>651300</v>
      </c>
      <c r="I99">
        <v>1206.95</v>
      </c>
      <c r="J99">
        <v>0</v>
      </c>
      <c r="K99">
        <v>1</v>
      </c>
      <c r="L99">
        <v>389</v>
      </c>
      <c r="M99">
        <v>778</v>
      </c>
      <c r="N99">
        <v>-76</v>
      </c>
      <c r="O99">
        <v>0</v>
      </c>
      <c r="P99">
        <v>-76</v>
      </c>
      <c r="Q99">
        <f t="shared" si="6"/>
        <v>2023</v>
      </c>
      <c r="R99">
        <f t="shared" si="7"/>
        <v>6</v>
      </c>
      <c r="S99" s="4">
        <f t="shared" si="8"/>
        <v>-86</v>
      </c>
      <c r="T99">
        <f t="shared" si="10"/>
        <v>6</v>
      </c>
      <c r="U99" s="4">
        <f t="shared" si="9"/>
        <v>-516</v>
      </c>
      <c r="V99" s="4">
        <f t="shared" si="11"/>
        <v>262683</v>
      </c>
    </row>
    <row r="100" spans="1:22" x14ac:dyDescent="0.25">
      <c r="A100" s="1">
        <v>112</v>
      </c>
      <c r="B100" s="2">
        <v>45092</v>
      </c>
      <c r="C100">
        <v>0</v>
      </c>
      <c r="D100">
        <v>83632</v>
      </c>
      <c r="E100">
        <v>83877</v>
      </c>
      <c r="F100">
        <v>82756</v>
      </c>
      <c r="G100">
        <v>83205</v>
      </c>
      <c r="H100">
        <v>1213237</v>
      </c>
      <c r="I100">
        <v>1200.81</v>
      </c>
      <c r="J100">
        <v>0</v>
      </c>
      <c r="K100">
        <v>0</v>
      </c>
      <c r="L100">
        <v>402</v>
      </c>
      <c r="M100">
        <v>805</v>
      </c>
      <c r="N100">
        <v>0</v>
      </c>
      <c r="O100">
        <v>418</v>
      </c>
      <c r="P100">
        <v>418</v>
      </c>
      <c r="Q100">
        <f t="shared" si="6"/>
        <v>2023</v>
      </c>
      <c r="R100">
        <f t="shared" si="7"/>
        <v>6</v>
      </c>
      <c r="S100" s="4">
        <f t="shared" si="8"/>
        <v>408</v>
      </c>
      <c r="T100">
        <f t="shared" si="10"/>
        <v>6</v>
      </c>
      <c r="U100" s="4">
        <f t="shared" si="9"/>
        <v>2448</v>
      </c>
      <c r="V100" s="4">
        <f t="shared" si="11"/>
        <v>265131</v>
      </c>
    </row>
    <row r="101" spans="1:22" x14ac:dyDescent="0.25">
      <c r="A101" s="1">
        <v>113</v>
      </c>
      <c r="B101" s="2">
        <v>45093</v>
      </c>
      <c r="C101">
        <v>0</v>
      </c>
      <c r="D101">
        <v>83222</v>
      </c>
      <c r="E101">
        <v>83895</v>
      </c>
      <c r="F101">
        <v>82809</v>
      </c>
      <c r="G101">
        <v>83825</v>
      </c>
      <c r="H101">
        <v>997870</v>
      </c>
      <c r="I101">
        <v>1192.6099999999999</v>
      </c>
      <c r="J101">
        <v>1</v>
      </c>
      <c r="K101">
        <v>0</v>
      </c>
      <c r="L101">
        <v>400</v>
      </c>
      <c r="M101">
        <v>801</v>
      </c>
      <c r="N101">
        <v>0</v>
      </c>
      <c r="O101">
        <v>-567</v>
      </c>
      <c r="P101">
        <v>-567</v>
      </c>
      <c r="Q101">
        <f t="shared" si="6"/>
        <v>2023</v>
      </c>
      <c r="R101">
        <f t="shared" si="7"/>
        <v>6</v>
      </c>
      <c r="S101" s="4">
        <f t="shared" si="8"/>
        <v>-577</v>
      </c>
      <c r="T101">
        <f t="shared" si="10"/>
        <v>6</v>
      </c>
      <c r="U101" s="4">
        <f t="shared" si="9"/>
        <v>-3462</v>
      </c>
      <c r="V101" s="4">
        <f t="shared" si="11"/>
        <v>261669</v>
      </c>
    </row>
    <row r="102" spans="1:22" x14ac:dyDescent="0.25">
      <c r="A102" s="1">
        <v>114</v>
      </c>
      <c r="B102" s="2">
        <v>45096</v>
      </c>
      <c r="C102">
        <v>0</v>
      </c>
      <c r="D102">
        <v>83840</v>
      </c>
      <c r="E102">
        <v>84132</v>
      </c>
      <c r="F102">
        <v>83254</v>
      </c>
      <c r="G102">
        <v>83640</v>
      </c>
      <c r="H102">
        <v>889227</v>
      </c>
      <c r="I102">
        <v>1170.1400000000001</v>
      </c>
      <c r="J102">
        <v>0</v>
      </c>
      <c r="K102">
        <v>1</v>
      </c>
      <c r="L102">
        <v>398</v>
      </c>
      <c r="M102">
        <v>795</v>
      </c>
      <c r="N102">
        <v>-133</v>
      </c>
      <c r="O102">
        <v>0</v>
      </c>
      <c r="P102">
        <v>-133</v>
      </c>
      <c r="Q102">
        <f t="shared" si="6"/>
        <v>2023</v>
      </c>
      <c r="R102">
        <f t="shared" si="7"/>
        <v>6</v>
      </c>
      <c r="S102" s="4">
        <f t="shared" si="8"/>
        <v>-143</v>
      </c>
      <c r="T102">
        <f t="shared" si="10"/>
        <v>6</v>
      </c>
      <c r="U102" s="4">
        <f t="shared" si="9"/>
        <v>-858</v>
      </c>
      <c r="V102" s="4">
        <f t="shared" si="11"/>
        <v>260811</v>
      </c>
    </row>
    <row r="103" spans="1:22" x14ac:dyDescent="0.25">
      <c r="A103" s="1">
        <v>115</v>
      </c>
      <c r="B103" s="2">
        <v>45097</v>
      </c>
      <c r="C103">
        <v>0</v>
      </c>
      <c r="D103">
        <v>83666</v>
      </c>
      <c r="E103">
        <v>84577</v>
      </c>
      <c r="F103">
        <v>83462</v>
      </c>
      <c r="G103">
        <v>84416</v>
      </c>
      <c r="H103">
        <v>919848</v>
      </c>
      <c r="I103">
        <v>1166.2</v>
      </c>
      <c r="J103">
        <v>1</v>
      </c>
      <c r="K103">
        <v>0</v>
      </c>
      <c r="L103">
        <v>390</v>
      </c>
      <c r="M103">
        <v>780</v>
      </c>
      <c r="N103">
        <v>0</v>
      </c>
      <c r="O103">
        <v>-748</v>
      </c>
      <c r="P103">
        <v>-748</v>
      </c>
      <c r="Q103">
        <f t="shared" si="6"/>
        <v>2023</v>
      </c>
      <c r="R103">
        <f t="shared" si="7"/>
        <v>6</v>
      </c>
      <c r="S103" s="4">
        <f t="shared" si="8"/>
        <v>-758</v>
      </c>
      <c r="T103">
        <f t="shared" si="10"/>
        <v>6</v>
      </c>
      <c r="U103" s="4">
        <f t="shared" si="9"/>
        <v>-4548</v>
      </c>
      <c r="V103" s="4">
        <f t="shared" si="11"/>
        <v>256263</v>
      </c>
    </row>
    <row r="104" spans="1:22" x14ac:dyDescent="0.25">
      <c r="A104" s="1">
        <v>116</v>
      </c>
      <c r="B104" s="2">
        <v>45098</v>
      </c>
      <c r="C104">
        <v>0</v>
      </c>
      <c r="D104">
        <v>84405</v>
      </c>
      <c r="E104">
        <v>84405</v>
      </c>
      <c r="F104">
        <v>82627</v>
      </c>
      <c r="G104">
        <v>82833</v>
      </c>
      <c r="H104">
        <v>1802491</v>
      </c>
      <c r="I104">
        <v>1210.68</v>
      </c>
      <c r="J104">
        <v>0</v>
      </c>
      <c r="K104">
        <v>1</v>
      </c>
      <c r="L104">
        <v>389</v>
      </c>
      <c r="M104">
        <v>777</v>
      </c>
      <c r="N104">
        <v>389</v>
      </c>
      <c r="O104">
        <v>0</v>
      </c>
      <c r="P104">
        <v>389</v>
      </c>
      <c r="Q104">
        <f t="shared" si="6"/>
        <v>2023</v>
      </c>
      <c r="R104">
        <f t="shared" si="7"/>
        <v>6</v>
      </c>
      <c r="S104" s="4">
        <f t="shared" si="8"/>
        <v>379</v>
      </c>
      <c r="T104">
        <f t="shared" si="10"/>
        <v>6</v>
      </c>
      <c r="U104" s="4">
        <f t="shared" si="9"/>
        <v>2274</v>
      </c>
      <c r="V104" s="4">
        <f t="shared" si="11"/>
        <v>258537</v>
      </c>
    </row>
    <row r="105" spans="1:22" x14ac:dyDescent="0.25">
      <c r="A105" s="1">
        <v>117</v>
      </c>
      <c r="B105" s="2">
        <v>45099</v>
      </c>
      <c r="C105">
        <v>0</v>
      </c>
      <c r="D105">
        <v>82835</v>
      </c>
      <c r="E105">
        <v>83476</v>
      </c>
      <c r="F105">
        <v>82256</v>
      </c>
      <c r="G105">
        <v>83189</v>
      </c>
      <c r="H105">
        <v>1073910</v>
      </c>
      <c r="I105">
        <v>1211.3499999999999</v>
      </c>
      <c r="J105">
        <v>1</v>
      </c>
      <c r="K105">
        <v>0</v>
      </c>
      <c r="L105">
        <v>404</v>
      </c>
      <c r="M105">
        <v>807</v>
      </c>
      <c r="N105">
        <v>0</v>
      </c>
      <c r="O105">
        <v>-310</v>
      </c>
      <c r="P105">
        <v>-310</v>
      </c>
      <c r="Q105">
        <f t="shared" si="6"/>
        <v>2023</v>
      </c>
      <c r="R105">
        <f t="shared" si="7"/>
        <v>6</v>
      </c>
      <c r="S105" s="4">
        <f t="shared" si="8"/>
        <v>-320</v>
      </c>
      <c r="T105">
        <f t="shared" si="10"/>
        <v>6</v>
      </c>
      <c r="U105" s="4">
        <f t="shared" si="9"/>
        <v>-1920</v>
      </c>
      <c r="V105" s="4">
        <f t="shared" si="11"/>
        <v>256617</v>
      </c>
    </row>
    <row r="106" spans="1:22" x14ac:dyDescent="0.25">
      <c r="A106" s="1">
        <v>118</v>
      </c>
      <c r="B106" s="2">
        <v>45100</v>
      </c>
      <c r="C106">
        <v>0</v>
      </c>
      <c r="D106">
        <v>83199</v>
      </c>
      <c r="E106">
        <v>84757</v>
      </c>
      <c r="F106">
        <v>82672</v>
      </c>
      <c r="G106">
        <v>84748</v>
      </c>
      <c r="H106">
        <v>1294508</v>
      </c>
      <c r="I106">
        <v>1273.75</v>
      </c>
      <c r="J106">
        <v>1</v>
      </c>
      <c r="K106">
        <v>1</v>
      </c>
      <c r="L106">
        <v>404</v>
      </c>
      <c r="M106">
        <v>808</v>
      </c>
      <c r="N106">
        <v>808</v>
      </c>
      <c r="O106">
        <v>0</v>
      </c>
      <c r="P106">
        <v>808</v>
      </c>
      <c r="Q106">
        <f t="shared" si="6"/>
        <v>2023</v>
      </c>
      <c r="R106">
        <f t="shared" si="7"/>
        <v>6</v>
      </c>
      <c r="S106" s="4">
        <f t="shared" si="8"/>
        <v>798</v>
      </c>
      <c r="T106">
        <f t="shared" si="10"/>
        <v>6</v>
      </c>
      <c r="U106" s="4">
        <f t="shared" si="9"/>
        <v>4788</v>
      </c>
      <c r="V106" s="4">
        <f t="shared" si="11"/>
        <v>261405</v>
      </c>
    </row>
    <row r="107" spans="1:22" x14ac:dyDescent="0.25">
      <c r="A107" s="1">
        <v>119</v>
      </c>
      <c r="B107" s="2">
        <v>45103</v>
      </c>
      <c r="C107">
        <v>0</v>
      </c>
      <c r="D107">
        <v>84750</v>
      </c>
      <c r="E107">
        <v>85100</v>
      </c>
      <c r="F107">
        <v>83343</v>
      </c>
      <c r="G107">
        <v>84187</v>
      </c>
      <c r="H107">
        <v>1650666</v>
      </c>
      <c r="I107">
        <v>1308.27</v>
      </c>
      <c r="J107">
        <v>0</v>
      </c>
      <c r="K107">
        <v>1</v>
      </c>
      <c r="L107">
        <v>425</v>
      </c>
      <c r="M107">
        <v>849</v>
      </c>
      <c r="N107">
        <v>425</v>
      </c>
      <c r="O107">
        <v>0</v>
      </c>
      <c r="P107">
        <v>425</v>
      </c>
      <c r="Q107">
        <f t="shared" si="6"/>
        <v>2023</v>
      </c>
      <c r="R107">
        <f t="shared" si="7"/>
        <v>6</v>
      </c>
      <c r="S107" s="4">
        <f t="shared" si="8"/>
        <v>415</v>
      </c>
      <c r="T107">
        <f t="shared" si="10"/>
        <v>6</v>
      </c>
      <c r="U107" s="4">
        <f t="shared" si="9"/>
        <v>2490</v>
      </c>
      <c r="V107" s="4">
        <f t="shared" si="11"/>
        <v>263895</v>
      </c>
    </row>
    <row r="108" spans="1:22" x14ac:dyDescent="0.25">
      <c r="A108" s="1">
        <v>120</v>
      </c>
      <c r="B108" s="2">
        <v>45104</v>
      </c>
      <c r="C108">
        <v>0</v>
      </c>
      <c r="D108">
        <v>84180</v>
      </c>
      <c r="E108">
        <v>84570</v>
      </c>
      <c r="F108">
        <v>83687</v>
      </c>
      <c r="G108">
        <v>84321</v>
      </c>
      <c r="H108">
        <v>829207</v>
      </c>
      <c r="I108">
        <v>1277.8900000000001</v>
      </c>
      <c r="J108">
        <v>1</v>
      </c>
      <c r="K108">
        <v>0</v>
      </c>
      <c r="L108">
        <v>436</v>
      </c>
      <c r="M108">
        <v>872</v>
      </c>
      <c r="N108">
        <v>0</v>
      </c>
      <c r="O108">
        <v>-181</v>
      </c>
      <c r="P108">
        <v>-181</v>
      </c>
      <c r="Q108">
        <f t="shared" si="6"/>
        <v>2023</v>
      </c>
      <c r="R108">
        <f t="shared" si="7"/>
        <v>6</v>
      </c>
      <c r="S108" s="4">
        <f t="shared" si="8"/>
        <v>-191</v>
      </c>
      <c r="T108">
        <f t="shared" si="10"/>
        <v>6</v>
      </c>
      <c r="U108" s="4">
        <f t="shared" si="9"/>
        <v>-1146</v>
      </c>
      <c r="V108" s="4">
        <f t="shared" si="11"/>
        <v>262749</v>
      </c>
    </row>
    <row r="109" spans="1:22" x14ac:dyDescent="0.25">
      <c r="A109" s="1">
        <v>121</v>
      </c>
      <c r="B109" s="2">
        <v>45105</v>
      </c>
      <c r="C109">
        <v>0</v>
      </c>
      <c r="D109">
        <v>84318</v>
      </c>
      <c r="E109">
        <v>86030</v>
      </c>
      <c r="F109">
        <v>84167</v>
      </c>
      <c r="G109">
        <v>85684</v>
      </c>
      <c r="H109">
        <v>1315944</v>
      </c>
      <c r="I109">
        <v>1319.69</v>
      </c>
      <c r="J109">
        <v>1</v>
      </c>
      <c r="K109">
        <v>1</v>
      </c>
      <c r="L109">
        <v>426</v>
      </c>
      <c r="M109">
        <v>852</v>
      </c>
      <c r="N109">
        <v>852</v>
      </c>
      <c r="O109">
        <v>0</v>
      </c>
      <c r="P109">
        <v>852</v>
      </c>
      <c r="Q109">
        <f t="shared" si="6"/>
        <v>2023</v>
      </c>
      <c r="R109">
        <f t="shared" si="7"/>
        <v>6</v>
      </c>
      <c r="S109" s="4">
        <f t="shared" si="8"/>
        <v>842</v>
      </c>
      <c r="T109">
        <f t="shared" si="10"/>
        <v>6</v>
      </c>
      <c r="U109" s="4">
        <f t="shared" si="9"/>
        <v>5052</v>
      </c>
      <c r="V109" s="4">
        <f t="shared" si="11"/>
        <v>267801</v>
      </c>
    </row>
    <row r="110" spans="1:22" x14ac:dyDescent="0.25">
      <c r="A110" s="1">
        <v>122</v>
      </c>
      <c r="B110" s="2">
        <v>45106</v>
      </c>
      <c r="C110">
        <v>0</v>
      </c>
      <c r="D110">
        <v>85696</v>
      </c>
      <c r="E110">
        <v>87399</v>
      </c>
      <c r="F110">
        <v>85536</v>
      </c>
      <c r="G110">
        <v>87199</v>
      </c>
      <c r="H110">
        <v>1451811</v>
      </c>
      <c r="I110">
        <v>1358.5</v>
      </c>
      <c r="J110">
        <v>1</v>
      </c>
      <c r="K110">
        <v>1</v>
      </c>
      <c r="L110">
        <v>440</v>
      </c>
      <c r="M110">
        <v>880</v>
      </c>
      <c r="N110">
        <v>880</v>
      </c>
      <c r="O110">
        <v>0</v>
      </c>
      <c r="P110">
        <v>880</v>
      </c>
      <c r="Q110">
        <f t="shared" si="6"/>
        <v>2023</v>
      </c>
      <c r="R110">
        <f t="shared" si="7"/>
        <v>6</v>
      </c>
      <c r="S110" s="4">
        <f t="shared" si="8"/>
        <v>870</v>
      </c>
      <c r="T110">
        <f t="shared" si="10"/>
        <v>6</v>
      </c>
      <c r="U110" s="4">
        <f t="shared" si="9"/>
        <v>5220</v>
      </c>
      <c r="V110" s="4">
        <f t="shared" si="11"/>
        <v>273021</v>
      </c>
    </row>
    <row r="111" spans="1:22" x14ac:dyDescent="0.25">
      <c r="A111" s="1">
        <v>123</v>
      </c>
      <c r="B111" s="2">
        <v>45107</v>
      </c>
      <c r="C111">
        <v>0</v>
      </c>
      <c r="D111">
        <v>87174</v>
      </c>
      <c r="E111">
        <v>88963</v>
      </c>
      <c r="F111">
        <v>86680</v>
      </c>
      <c r="G111">
        <v>88778</v>
      </c>
      <c r="H111">
        <v>2783713</v>
      </c>
      <c r="I111">
        <v>1424.53</v>
      </c>
      <c r="J111">
        <v>1</v>
      </c>
      <c r="K111">
        <v>1</v>
      </c>
      <c r="L111">
        <v>453</v>
      </c>
      <c r="M111">
        <v>906</v>
      </c>
      <c r="N111">
        <v>906</v>
      </c>
      <c r="O111">
        <v>0</v>
      </c>
      <c r="P111">
        <v>906</v>
      </c>
      <c r="Q111">
        <f t="shared" si="6"/>
        <v>2023</v>
      </c>
      <c r="R111">
        <f t="shared" si="7"/>
        <v>6</v>
      </c>
      <c r="S111" s="4">
        <f t="shared" si="8"/>
        <v>896</v>
      </c>
      <c r="T111">
        <f t="shared" si="10"/>
        <v>6</v>
      </c>
      <c r="U111" s="4">
        <f t="shared" si="9"/>
        <v>5376</v>
      </c>
      <c r="V111" s="4">
        <f t="shared" si="11"/>
        <v>278397</v>
      </c>
    </row>
    <row r="112" spans="1:22" x14ac:dyDescent="0.25">
      <c r="A112" s="1">
        <v>124</v>
      </c>
      <c r="B112" s="2">
        <v>45110</v>
      </c>
      <c r="C112">
        <v>0</v>
      </c>
      <c r="D112">
        <v>88732</v>
      </c>
      <c r="E112">
        <v>88732</v>
      </c>
      <c r="F112">
        <v>86820</v>
      </c>
      <c r="G112">
        <v>87238</v>
      </c>
      <c r="H112">
        <v>1628508</v>
      </c>
      <c r="I112">
        <v>1462.64</v>
      </c>
      <c r="J112">
        <v>0</v>
      </c>
      <c r="K112">
        <v>1</v>
      </c>
      <c r="L112">
        <v>475</v>
      </c>
      <c r="M112">
        <v>950</v>
      </c>
      <c r="N112">
        <v>475</v>
      </c>
      <c r="O112">
        <v>0</v>
      </c>
      <c r="P112">
        <v>475</v>
      </c>
      <c r="Q112">
        <f t="shared" si="6"/>
        <v>2023</v>
      </c>
      <c r="R112">
        <f t="shared" si="7"/>
        <v>7</v>
      </c>
      <c r="S112" s="4">
        <f t="shared" si="8"/>
        <v>465</v>
      </c>
      <c r="T112">
        <f t="shared" si="10"/>
        <v>5</v>
      </c>
      <c r="U112" s="4">
        <f t="shared" si="9"/>
        <v>2325</v>
      </c>
      <c r="V112" s="4">
        <f t="shared" si="11"/>
        <v>280722</v>
      </c>
    </row>
    <row r="113" spans="1:22" x14ac:dyDescent="0.25">
      <c r="A113" s="1">
        <v>125</v>
      </c>
      <c r="B113" s="2">
        <v>45111</v>
      </c>
      <c r="C113">
        <v>0</v>
      </c>
      <c r="D113">
        <v>87253</v>
      </c>
      <c r="E113">
        <v>88862</v>
      </c>
      <c r="F113">
        <v>86949</v>
      </c>
      <c r="G113">
        <v>87841</v>
      </c>
      <c r="H113">
        <v>1894491</v>
      </c>
      <c r="I113">
        <v>1494.81</v>
      </c>
      <c r="J113">
        <v>1</v>
      </c>
      <c r="K113">
        <v>0</v>
      </c>
      <c r="L113">
        <v>488</v>
      </c>
      <c r="M113">
        <v>975</v>
      </c>
      <c r="N113">
        <v>0</v>
      </c>
      <c r="O113">
        <v>-572</v>
      </c>
      <c r="P113">
        <v>-572</v>
      </c>
      <c r="Q113">
        <f t="shared" si="6"/>
        <v>2023</v>
      </c>
      <c r="R113">
        <f t="shared" si="7"/>
        <v>7</v>
      </c>
      <c r="S113" s="4">
        <f t="shared" si="8"/>
        <v>-582</v>
      </c>
      <c r="T113">
        <f t="shared" si="10"/>
        <v>5</v>
      </c>
      <c r="U113" s="4">
        <f t="shared" si="9"/>
        <v>-2910</v>
      </c>
      <c r="V113" s="4">
        <f t="shared" si="11"/>
        <v>277812</v>
      </c>
    </row>
    <row r="114" spans="1:22" x14ac:dyDescent="0.25">
      <c r="A114" s="1">
        <v>126</v>
      </c>
      <c r="B114" s="2">
        <v>45112</v>
      </c>
      <c r="C114">
        <v>0</v>
      </c>
      <c r="D114">
        <v>87876</v>
      </c>
      <c r="E114">
        <v>89200</v>
      </c>
      <c r="F114">
        <v>87683</v>
      </c>
      <c r="G114">
        <v>89040</v>
      </c>
      <c r="H114">
        <v>1805509</v>
      </c>
      <c r="I114">
        <v>1496.39</v>
      </c>
      <c r="J114">
        <v>1</v>
      </c>
      <c r="K114">
        <v>1</v>
      </c>
      <c r="L114">
        <v>498</v>
      </c>
      <c r="M114">
        <v>997</v>
      </c>
      <c r="N114">
        <v>997</v>
      </c>
      <c r="O114">
        <v>0</v>
      </c>
      <c r="P114">
        <v>997</v>
      </c>
      <c r="Q114">
        <f t="shared" si="6"/>
        <v>2023</v>
      </c>
      <c r="R114">
        <f t="shared" si="7"/>
        <v>7</v>
      </c>
      <c r="S114" s="4">
        <f t="shared" si="8"/>
        <v>987</v>
      </c>
      <c r="T114">
        <f t="shared" si="10"/>
        <v>5</v>
      </c>
      <c r="U114" s="4">
        <f t="shared" si="9"/>
        <v>4935</v>
      </c>
      <c r="V114" s="4">
        <f t="shared" si="11"/>
        <v>282747</v>
      </c>
    </row>
    <row r="115" spans="1:22" x14ac:dyDescent="0.25">
      <c r="A115" s="1">
        <v>127</v>
      </c>
      <c r="B115" s="2">
        <v>45113</v>
      </c>
      <c r="C115">
        <v>0</v>
      </c>
      <c r="D115">
        <v>89040</v>
      </c>
      <c r="E115">
        <v>91394</v>
      </c>
      <c r="F115">
        <v>89040</v>
      </c>
      <c r="G115">
        <v>89950</v>
      </c>
      <c r="H115">
        <v>2342211</v>
      </c>
      <c r="I115">
        <v>1557.65</v>
      </c>
      <c r="J115">
        <v>1</v>
      </c>
      <c r="K115">
        <v>1</v>
      </c>
      <c r="L115">
        <v>499</v>
      </c>
      <c r="M115">
        <v>998</v>
      </c>
      <c r="N115">
        <v>841</v>
      </c>
      <c r="O115">
        <v>0</v>
      </c>
      <c r="P115">
        <v>841</v>
      </c>
      <c r="Q115">
        <f t="shared" si="6"/>
        <v>2023</v>
      </c>
      <c r="R115">
        <f t="shared" si="7"/>
        <v>7</v>
      </c>
      <c r="S115" s="4">
        <f t="shared" si="8"/>
        <v>831</v>
      </c>
      <c r="T115">
        <f t="shared" si="10"/>
        <v>5</v>
      </c>
      <c r="U115" s="4">
        <f t="shared" si="9"/>
        <v>4155</v>
      </c>
      <c r="V115" s="4">
        <f t="shared" si="11"/>
        <v>286902</v>
      </c>
    </row>
    <row r="116" spans="1:22" x14ac:dyDescent="0.25">
      <c r="A116" s="1">
        <v>128</v>
      </c>
      <c r="B116" s="2">
        <v>45114</v>
      </c>
      <c r="C116">
        <v>0</v>
      </c>
      <c r="D116">
        <v>89925</v>
      </c>
      <c r="E116">
        <v>90478</v>
      </c>
      <c r="F116">
        <v>89356</v>
      </c>
      <c r="G116">
        <v>90089</v>
      </c>
      <c r="H116">
        <v>979830</v>
      </c>
      <c r="I116">
        <v>1526.53</v>
      </c>
      <c r="J116">
        <v>1</v>
      </c>
      <c r="K116">
        <v>1</v>
      </c>
      <c r="L116">
        <v>519</v>
      </c>
      <c r="M116">
        <v>1038</v>
      </c>
      <c r="N116">
        <v>62</v>
      </c>
      <c r="O116">
        <v>0</v>
      </c>
      <c r="P116">
        <v>62</v>
      </c>
      <c r="Q116">
        <f t="shared" si="6"/>
        <v>2023</v>
      </c>
      <c r="R116">
        <f t="shared" si="7"/>
        <v>7</v>
      </c>
      <c r="S116" s="4">
        <f t="shared" si="8"/>
        <v>52</v>
      </c>
      <c r="T116">
        <f t="shared" si="10"/>
        <v>5</v>
      </c>
      <c r="U116" s="4">
        <f t="shared" si="9"/>
        <v>260</v>
      </c>
      <c r="V116" s="4">
        <f t="shared" si="11"/>
        <v>287162</v>
      </c>
    </row>
    <row r="117" spans="1:22" x14ac:dyDescent="0.25">
      <c r="A117" s="1">
        <v>129</v>
      </c>
      <c r="B117" s="2">
        <v>45117</v>
      </c>
      <c r="C117">
        <v>0</v>
      </c>
      <c r="D117">
        <v>90100</v>
      </c>
      <c r="E117">
        <v>90436</v>
      </c>
      <c r="F117">
        <v>88507</v>
      </c>
      <c r="G117">
        <v>88709</v>
      </c>
      <c r="H117">
        <v>1119729</v>
      </c>
      <c r="I117">
        <v>1555.28</v>
      </c>
      <c r="J117">
        <v>0</v>
      </c>
      <c r="K117">
        <v>1</v>
      </c>
      <c r="L117">
        <v>509</v>
      </c>
      <c r="M117">
        <v>1018</v>
      </c>
      <c r="N117">
        <v>509</v>
      </c>
      <c r="O117">
        <v>0</v>
      </c>
      <c r="P117">
        <v>509</v>
      </c>
      <c r="Q117">
        <f t="shared" si="6"/>
        <v>2023</v>
      </c>
      <c r="R117">
        <f t="shared" si="7"/>
        <v>7</v>
      </c>
      <c r="S117" s="4">
        <f t="shared" si="8"/>
        <v>499</v>
      </c>
      <c r="T117">
        <f t="shared" si="10"/>
        <v>5</v>
      </c>
      <c r="U117" s="4">
        <f t="shared" si="9"/>
        <v>2495</v>
      </c>
      <c r="V117" s="4">
        <f t="shared" si="11"/>
        <v>289657</v>
      </c>
    </row>
    <row r="118" spans="1:22" x14ac:dyDescent="0.25">
      <c r="A118" s="1">
        <v>130</v>
      </c>
      <c r="B118" s="2">
        <v>45118</v>
      </c>
      <c r="C118">
        <v>0</v>
      </c>
      <c r="D118">
        <v>88679</v>
      </c>
      <c r="E118">
        <v>89398</v>
      </c>
      <c r="F118">
        <v>88098</v>
      </c>
      <c r="G118">
        <v>88429</v>
      </c>
      <c r="H118">
        <v>1078969</v>
      </c>
      <c r="I118">
        <v>1537.04</v>
      </c>
      <c r="J118">
        <v>0</v>
      </c>
      <c r="K118">
        <v>0</v>
      </c>
      <c r="L118">
        <v>518</v>
      </c>
      <c r="M118">
        <v>1037</v>
      </c>
      <c r="N118">
        <v>0</v>
      </c>
      <c r="O118">
        <v>134</v>
      </c>
      <c r="P118">
        <v>134</v>
      </c>
      <c r="Q118">
        <f t="shared" si="6"/>
        <v>2023</v>
      </c>
      <c r="R118">
        <f t="shared" si="7"/>
        <v>7</v>
      </c>
      <c r="S118" s="4">
        <f t="shared" si="8"/>
        <v>124</v>
      </c>
      <c r="T118">
        <f t="shared" si="10"/>
        <v>5</v>
      </c>
      <c r="U118" s="4">
        <f t="shared" si="9"/>
        <v>620</v>
      </c>
      <c r="V118" s="4">
        <f t="shared" si="11"/>
        <v>290277</v>
      </c>
    </row>
    <row r="119" spans="1:22" x14ac:dyDescent="0.25">
      <c r="A119" s="1">
        <v>131</v>
      </c>
      <c r="B119" s="2">
        <v>45119</v>
      </c>
      <c r="C119">
        <v>0</v>
      </c>
      <c r="D119">
        <v>88417</v>
      </c>
      <c r="E119">
        <v>90040</v>
      </c>
      <c r="F119">
        <v>88409</v>
      </c>
      <c r="G119">
        <v>89980</v>
      </c>
      <c r="H119">
        <v>1456249</v>
      </c>
      <c r="I119">
        <v>1543.76</v>
      </c>
      <c r="J119">
        <v>1</v>
      </c>
      <c r="K119">
        <v>0</v>
      </c>
      <c r="L119">
        <v>512</v>
      </c>
      <c r="M119">
        <v>1025</v>
      </c>
      <c r="N119">
        <v>0</v>
      </c>
      <c r="O119">
        <v>512</v>
      </c>
      <c r="P119">
        <v>512</v>
      </c>
      <c r="Q119">
        <f t="shared" si="6"/>
        <v>2023</v>
      </c>
      <c r="R119">
        <f t="shared" si="7"/>
        <v>7</v>
      </c>
      <c r="S119" s="4">
        <f t="shared" si="8"/>
        <v>502</v>
      </c>
      <c r="T119">
        <f t="shared" si="10"/>
        <v>5</v>
      </c>
      <c r="U119" s="4">
        <f t="shared" si="9"/>
        <v>2510</v>
      </c>
      <c r="V119" s="4">
        <f t="shared" si="11"/>
        <v>292787</v>
      </c>
    </row>
    <row r="120" spans="1:22" x14ac:dyDescent="0.25">
      <c r="A120" s="1">
        <v>132</v>
      </c>
      <c r="B120" s="2">
        <v>45120</v>
      </c>
      <c r="C120">
        <v>0</v>
      </c>
      <c r="D120">
        <v>90071</v>
      </c>
      <c r="E120">
        <v>90270</v>
      </c>
      <c r="F120">
        <v>88450</v>
      </c>
      <c r="G120">
        <v>88841</v>
      </c>
      <c r="H120">
        <v>1230943</v>
      </c>
      <c r="I120">
        <v>1563.49</v>
      </c>
      <c r="J120">
        <v>0</v>
      </c>
      <c r="K120">
        <v>1</v>
      </c>
      <c r="L120">
        <v>515</v>
      </c>
      <c r="M120">
        <v>1029</v>
      </c>
      <c r="N120">
        <v>515</v>
      </c>
      <c r="O120">
        <v>0</v>
      </c>
      <c r="P120">
        <v>515</v>
      </c>
      <c r="Q120">
        <f t="shared" si="6"/>
        <v>2023</v>
      </c>
      <c r="R120">
        <f t="shared" si="7"/>
        <v>7</v>
      </c>
      <c r="S120" s="4">
        <f t="shared" si="8"/>
        <v>505</v>
      </c>
      <c r="T120">
        <f t="shared" si="10"/>
        <v>5</v>
      </c>
      <c r="U120" s="4">
        <f t="shared" si="9"/>
        <v>2525</v>
      </c>
      <c r="V120" s="4">
        <f t="shared" si="11"/>
        <v>295312</v>
      </c>
    </row>
    <row r="121" spans="1:22" x14ac:dyDescent="0.25">
      <c r="A121" s="1">
        <v>133</v>
      </c>
      <c r="B121" s="2">
        <v>45121</v>
      </c>
      <c r="C121">
        <v>0</v>
      </c>
      <c r="D121">
        <v>88825</v>
      </c>
      <c r="E121">
        <v>89676</v>
      </c>
      <c r="F121">
        <v>88588</v>
      </c>
      <c r="G121">
        <v>89490</v>
      </c>
      <c r="H121">
        <v>1177044</v>
      </c>
      <c r="I121">
        <v>1529.52</v>
      </c>
      <c r="J121">
        <v>1</v>
      </c>
      <c r="K121">
        <v>0</v>
      </c>
      <c r="L121">
        <v>521</v>
      </c>
      <c r="M121">
        <v>1042</v>
      </c>
      <c r="N121">
        <v>0</v>
      </c>
      <c r="O121">
        <v>-615</v>
      </c>
      <c r="P121">
        <v>-615</v>
      </c>
      <c r="Q121">
        <f t="shared" si="6"/>
        <v>2023</v>
      </c>
      <c r="R121">
        <f t="shared" si="7"/>
        <v>7</v>
      </c>
      <c r="S121" s="4">
        <f t="shared" si="8"/>
        <v>-625</v>
      </c>
      <c r="T121">
        <f t="shared" si="10"/>
        <v>5</v>
      </c>
      <c r="U121" s="4">
        <f t="shared" si="9"/>
        <v>-3125</v>
      </c>
      <c r="V121" s="4">
        <f t="shared" si="11"/>
        <v>292187</v>
      </c>
    </row>
    <row r="122" spans="1:22" x14ac:dyDescent="0.25">
      <c r="A122" s="1">
        <v>134</v>
      </c>
      <c r="B122" s="2">
        <v>45124</v>
      </c>
      <c r="C122">
        <v>0</v>
      </c>
      <c r="D122">
        <v>89643</v>
      </c>
      <c r="E122">
        <v>90525</v>
      </c>
      <c r="F122">
        <v>89261</v>
      </c>
      <c r="G122">
        <v>90371</v>
      </c>
      <c r="H122">
        <v>914583</v>
      </c>
      <c r="I122">
        <v>1510.56</v>
      </c>
      <c r="J122">
        <v>1</v>
      </c>
      <c r="K122">
        <v>1</v>
      </c>
      <c r="L122">
        <v>510</v>
      </c>
      <c r="M122">
        <v>1020</v>
      </c>
      <c r="N122">
        <v>806</v>
      </c>
      <c r="O122">
        <v>0</v>
      </c>
      <c r="P122">
        <v>806</v>
      </c>
      <c r="Q122">
        <f t="shared" si="6"/>
        <v>2023</v>
      </c>
      <c r="R122">
        <f t="shared" si="7"/>
        <v>7</v>
      </c>
      <c r="S122" s="4">
        <f t="shared" si="8"/>
        <v>796</v>
      </c>
      <c r="T122">
        <f t="shared" si="10"/>
        <v>5</v>
      </c>
      <c r="U122" s="4">
        <f t="shared" si="9"/>
        <v>3980</v>
      </c>
      <c r="V122" s="4">
        <f t="shared" si="11"/>
        <v>296167</v>
      </c>
    </row>
    <row r="123" spans="1:22" x14ac:dyDescent="0.25">
      <c r="A123" s="1">
        <v>135</v>
      </c>
      <c r="B123" s="2">
        <v>45125</v>
      </c>
      <c r="C123">
        <v>0</v>
      </c>
      <c r="D123">
        <v>90299</v>
      </c>
      <c r="E123">
        <v>90299</v>
      </c>
      <c r="F123">
        <v>89694</v>
      </c>
      <c r="G123">
        <v>89890</v>
      </c>
      <c r="H123">
        <v>776298</v>
      </c>
      <c r="I123">
        <v>1451.02</v>
      </c>
      <c r="J123">
        <v>0</v>
      </c>
      <c r="K123">
        <v>1</v>
      </c>
      <c r="L123">
        <v>504</v>
      </c>
      <c r="M123">
        <v>1007</v>
      </c>
      <c r="N123">
        <v>-282</v>
      </c>
      <c r="O123">
        <v>0</v>
      </c>
      <c r="P123">
        <v>-282</v>
      </c>
      <c r="Q123">
        <f t="shared" si="6"/>
        <v>2023</v>
      </c>
      <c r="R123">
        <f t="shared" si="7"/>
        <v>7</v>
      </c>
      <c r="S123" s="4">
        <f t="shared" si="8"/>
        <v>-292</v>
      </c>
      <c r="T123">
        <f t="shared" si="10"/>
        <v>5</v>
      </c>
      <c r="U123" s="4">
        <f t="shared" si="9"/>
        <v>-1460</v>
      </c>
      <c r="V123" s="4">
        <f t="shared" si="11"/>
        <v>294707</v>
      </c>
    </row>
    <row r="124" spans="1:22" x14ac:dyDescent="0.25">
      <c r="A124" s="1">
        <v>136</v>
      </c>
      <c r="B124" s="2">
        <v>45126</v>
      </c>
      <c r="C124">
        <v>0</v>
      </c>
      <c r="D124">
        <v>90025</v>
      </c>
      <c r="E124">
        <v>90738</v>
      </c>
      <c r="F124">
        <v>89911</v>
      </c>
      <c r="G124">
        <v>90289</v>
      </c>
      <c r="H124">
        <v>824607</v>
      </c>
      <c r="I124">
        <v>1407.95</v>
      </c>
      <c r="J124">
        <v>1</v>
      </c>
      <c r="K124">
        <v>0</v>
      </c>
      <c r="L124">
        <v>484</v>
      </c>
      <c r="M124">
        <v>967</v>
      </c>
      <c r="N124">
        <v>0</v>
      </c>
      <c r="O124">
        <v>-256</v>
      </c>
      <c r="P124">
        <v>-256</v>
      </c>
      <c r="Q124">
        <f t="shared" si="6"/>
        <v>2023</v>
      </c>
      <c r="R124">
        <f t="shared" si="7"/>
        <v>7</v>
      </c>
      <c r="S124" s="4">
        <f t="shared" si="8"/>
        <v>-266</v>
      </c>
      <c r="T124">
        <f t="shared" si="10"/>
        <v>6</v>
      </c>
      <c r="U124" s="4">
        <f t="shared" si="9"/>
        <v>-1596</v>
      </c>
      <c r="V124" s="4">
        <f t="shared" si="11"/>
        <v>293111</v>
      </c>
    </row>
    <row r="125" spans="1:22" x14ac:dyDescent="0.25">
      <c r="A125" s="1">
        <v>137</v>
      </c>
      <c r="B125" s="2">
        <v>45127</v>
      </c>
      <c r="C125">
        <v>0</v>
      </c>
      <c r="D125">
        <v>90139</v>
      </c>
      <c r="E125">
        <v>90286</v>
      </c>
      <c r="F125">
        <v>89270</v>
      </c>
      <c r="G125">
        <v>89607</v>
      </c>
      <c r="H125">
        <v>1294706</v>
      </c>
      <c r="I125">
        <v>1380.16</v>
      </c>
      <c r="J125">
        <v>0</v>
      </c>
      <c r="K125">
        <v>1</v>
      </c>
      <c r="L125">
        <v>469</v>
      </c>
      <c r="M125">
        <v>939</v>
      </c>
      <c r="N125">
        <v>469</v>
      </c>
      <c r="O125">
        <v>0</v>
      </c>
      <c r="P125">
        <v>469</v>
      </c>
      <c r="Q125">
        <f t="shared" si="6"/>
        <v>2023</v>
      </c>
      <c r="R125">
        <f t="shared" si="7"/>
        <v>7</v>
      </c>
      <c r="S125" s="4">
        <f t="shared" si="8"/>
        <v>459</v>
      </c>
      <c r="T125">
        <f t="shared" si="10"/>
        <v>6</v>
      </c>
      <c r="U125" s="4">
        <f t="shared" si="9"/>
        <v>2754</v>
      </c>
      <c r="V125" s="4">
        <f t="shared" si="11"/>
        <v>295865</v>
      </c>
    </row>
    <row r="126" spans="1:22" x14ac:dyDescent="0.25">
      <c r="A126" s="1">
        <v>138</v>
      </c>
      <c r="B126" s="2">
        <v>45128</v>
      </c>
      <c r="C126">
        <v>0</v>
      </c>
      <c r="D126">
        <v>89619</v>
      </c>
      <c r="E126">
        <v>90379</v>
      </c>
      <c r="F126">
        <v>88881</v>
      </c>
      <c r="G126">
        <v>90245</v>
      </c>
      <c r="H126">
        <v>1028327</v>
      </c>
      <c r="I126">
        <v>1388.58</v>
      </c>
      <c r="J126">
        <v>1</v>
      </c>
      <c r="K126">
        <v>0</v>
      </c>
      <c r="L126">
        <v>460</v>
      </c>
      <c r="M126">
        <v>920</v>
      </c>
      <c r="N126">
        <v>0</v>
      </c>
      <c r="O126">
        <v>-665</v>
      </c>
      <c r="P126">
        <v>-665</v>
      </c>
      <c r="Q126">
        <f t="shared" si="6"/>
        <v>2023</v>
      </c>
      <c r="R126">
        <f t="shared" si="7"/>
        <v>7</v>
      </c>
      <c r="S126" s="4">
        <f t="shared" si="8"/>
        <v>-675</v>
      </c>
      <c r="T126">
        <f t="shared" si="10"/>
        <v>6</v>
      </c>
      <c r="U126" s="4">
        <f t="shared" si="9"/>
        <v>-4050</v>
      </c>
      <c r="V126" s="4">
        <f t="shared" si="11"/>
        <v>291815</v>
      </c>
    </row>
    <row r="127" spans="1:22" x14ac:dyDescent="0.25">
      <c r="A127" s="1">
        <v>139</v>
      </c>
      <c r="B127" s="2">
        <v>45131</v>
      </c>
      <c r="C127">
        <v>0</v>
      </c>
      <c r="D127">
        <v>90218</v>
      </c>
      <c r="E127">
        <v>90258</v>
      </c>
      <c r="F127">
        <v>89302</v>
      </c>
      <c r="G127">
        <v>89360</v>
      </c>
      <c r="H127">
        <v>712299</v>
      </c>
      <c r="I127">
        <v>1357.68</v>
      </c>
      <c r="J127">
        <v>0</v>
      </c>
      <c r="K127">
        <v>1</v>
      </c>
      <c r="L127">
        <v>463</v>
      </c>
      <c r="M127">
        <v>926</v>
      </c>
      <c r="N127">
        <v>463</v>
      </c>
      <c r="O127">
        <v>0</v>
      </c>
      <c r="P127">
        <v>463</v>
      </c>
      <c r="Q127">
        <f t="shared" si="6"/>
        <v>2023</v>
      </c>
      <c r="R127">
        <f t="shared" si="7"/>
        <v>7</v>
      </c>
      <c r="S127" s="4">
        <f t="shared" si="8"/>
        <v>453</v>
      </c>
      <c r="T127">
        <f t="shared" si="10"/>
        <v>6</v>
      </c>
      <c r="U127" s="4">
        <f t="shared" si="9"/>
        <v>2718</v>
      </c>
      <c r="V127" s="4">
        <f t="shared" si="11"/>
        <v>294533</v>
      </c>
    </row>
    <row r="128" spans="1:22" x14ac:dyDescent="0.25">
      <c r="A128" s="1">
        <v>140</v>
      </c>
      <c r="B128" s="2">
        <v>45132</v>
      </c>
      <c r="C128">
        <v>0</v>
      </c>
      <c r="D128">
        <v>89303</v>
      </c>
      <c r="E128">
        <v>89680</v>
      </c>
      <c r="F128">
        <v>89020</v>
      </c>
      <c r="G128">
        <v>89442</v>
      </c>
      <c r="H128">
        <v>666516</v>
      </c>
      <c r="I128">
        <v>1307.8499999999999</v>
      </c>
      <c r="J128">
        <v>1</v>
      </c>
      <c r="K128">
        <v>0</v>
      </c>
      <c r="L128">
        <v>453</v>
      </c>
      <c r="M128">
        <v>905</v>
      </c>
      <c r="N128">
        <v>0</v>
      </c>
      <c r="O128">
        <v>-140</v>
      </c>
      <c r="P128">
        <v>-140</v>
      </c>
      <c r="Q128">
        <f t="shared" si="6"/>
        <v>2023</v>
      </c>
      <c r="R128">
        <f t="shared" si="7"/>
        <v>7</v>
      </c>
      <c r="S128" s="4">
        <f t="shared" si="8"/>
        <v>-150</v>
      </c>
      <c r="T128">
        <f t="shared" si="10"/>
        <v>6</v>
      </c>
      <c r="U128" s="4">
        <f t="shared" si="9"/>
        <v>-900</v>
      </c>
      <c r="V128" s="4">
        <f t="shared" si="11"/>
        <v>293633</v>
      </c>
    </row>
    <row r="129" spans="1:22" x14ac:dyDescent="0.25">
      <c r="A129" s="1">
        <v>141</v>
      </c>
      <c r="B129" s="2">
        <v>45133</v>
      </c>
      <c r="C129">
        <v>0</v>
      </c>
      <c r="D129">
        <v>89517</v>
      </c>
      <c r="E129">
        <v>89590</v>
      </c>
      <c r="F129">
        <v>89112</v>
      </c>
      <c r="G129">
        <v>89320</v>
      </c>
      <c r="H129">
        <v>496389</v>
      </c>
      <c r="I129">
        <v>1248.57</v>
      </c>
      <c r="J129">
        <v>0</v>
      </c>
      <c r="K129">
        <v>1</v>
      </c>
      <c r="L129">
        <v>436</v>
      </c>
      <c r="M129">
        <v>872</v>
      </c>
      <c r="N129">
        <v>-184</v>
      </c>
      <c r="O129">
        <v>0</v>
      </c>
      <c r="P129">
        <v>-184</v>
      </c>
      <c r="Q129">
        <f t="shared" si="6"/>
        <v>2023</v>
      </c>
      <c r="R129">
        <f t="shared" si="7"/>
        <v>7</v>
      </c>
      <c r="S129" s="4">
        <f t="shared" si="8"/>
        <v>-194</v>
      </c>
      <c r="T129">
        <f t="shared" si="10"/>
        <v>6</v>
      </c>
      <c r="U129" s="4">
        <f t="shared" si="9"/>
        <v>-1164</v>
      </c>
      <c r="V129" s="4">
        <f t="shared" si="11"/>
        <v>292469</v>
      </c>
    </row>
    <row r="130" spans="1:22" x14ac:dyDescent="0.25">
      <c r="A130" s="1">
        <v>142</v>
      </c>
      <c r="B130" s="2">
        <v>45134</v>
      </c>
      <c r="C130">
        <v>0</v>
      </c>
      <c r="D130">
        <v>89303</v>
      </c>
      <c r="E130">
        <v>90065</v>
      </c>
      <c r="F130">
        <v>88984</v>
      </c>
      <c r="G130">
        <v>89903</v>
      </c>
      <c r="H130">
        <v>1009033</v>
      </c>
      <c r="I130">
        <v>1236.5999999999999</v>
      </c>
      <c r="J130">
        <v>1</v>
      </c>
      <c r="K130">
        <v>0</v>
      </c>
      <c r="L130">
        <v>416</v>
      </c>
      <c r="M130">
        <v>832</v>
      </c>
      <c r="N130">
        <v>0</v>
      </c>
      <c r="O130">
        <v>-545</v>
      </c>
      <c r="P130">
        <v>-545</v>
      </c>
      <c r="Q130">
        <f t="shared" si="6"/>
        <v>2023</v>
      </c>
      <c r="R130">
        <f t="shared" si="7"/>
        <v>7</v>
      </c>
      <c r="S130" s="4">
        <f t="shared" si="8"/>
        <v>-555</v>
      </c>
      <c r="T130">
        <f t="shared" si="10"/>
        <v>7</v>
      </c>
      <c r="U130" s="4">
        <f t="shared" si="9"/>
        <v>-3885</v>
      </c>
      <c r="V130" s="4">
        <f t="shared" si="11"/>
        <v>288584</v>
      </c>
    </row>
    <row r="131" spans="1:22" x14ac:dyDescent="0.25">
      <c r="A131" s="1">
        <v>143</v>
      </c>
      <c r="B131" s="2">
        <v>45135</v>
      </c>
      <c r="C131">
        <v>0</v>
      </c>
      <c r="D131">
        <v>89859</v>
      </c>
      <c r="E131">
        <v>91350</v>
      </c>
      <c r="F131">
        <v>89710</v>
      </c>
      <c r="G131">
        <v>91321</v>
      </c>
      <c r="H131">
        <v>920050</v>
      </c>
      <c r="I131">
        <v>1265.42</v>
      </c>
      <c r="J131">
        <v>1</v>
      </c>
      <c r="K131">
        <v>1</v>
      </c>
      <c r="L131">
        <v>412</v>
      </c>
      <c r="M131">
        <v>824</v>
      </c>
      <c r="N131">
        <v>824</v>
      </c>
      <c r="O131">
        <v>0</v>
      </c>
      <c r="P131">
        <v>824</v>
      </c>
      <c r="Q131">
        <f t="shared" ref="Q131:Q194" si="12">YEAR(B131)</f>
        <v>2023</v>
      </c>
      <c r="R131">
        <f t="shared" ref="R131:R194" si="13">MONTH(B131)</f>
        <v>7</v>
      </c>
      <c r="S131" s="4">
        <f t="shared" ref="S131:S194" si="14">P131-10</f>
        <v>814</v>
      </c>
      <c r="T131">
        <f t="shared" si="10"/>
        <v>7</v>
      </c>
      <c r="U131" s="4">
        <f t="shared" ref="U131:U194" si="15">S131*T131</f>
        <v>5698</v>
      </c>
      <c r="V131" s="4">
        <f t="shared" si="11"/>
        <v>294282</v>
      </c>
    </row>
    <row r="132" spans="1:22" x14ac:dyDescent="0.25">
      <c r="A132" s="1">
        <v>144</v>
      </c>
      <c r="B132" s="2">
        <v>45138</v>
      </c>
      <c r="C132">
        <v>0</v>
      </c>
      <c r="D132">
        <v>91490</v>
      </c>
      <c r="E132">
        <v>91875</v>
      </c>
      <c r="F132">
        <v>90550</v>
      </c>
      <c r="G132">
        <v>90872</v>
      </c>
      <c r="H132">
        <v>1010504</v>
      </c>
      <c r="I132">
        <v>1269.67</v>
      </c>
      <c r="J132">
        <v>0</v>
      </c>
      <c r="K132">
        <v>1</v>
      </c>
      <c r="L132">
        <v>422</v>
      </c>
      <c r="M132">
        <v>844</v>
      </c>
      <c r="N132">
        <v>422</v>
      </c>
      <c r="O132">
        <v>0</v>
      </c>
      <c r="P132">
        <v>422</v>
      </c>
      <c r="Q132">
        <f t="shared" si="12"/>
        <v>2023</v>
      </c>
      <c r="R132">
        <f t="shared" si="13"/>
        <v>7</v>
      </c>
      <c r="S132" s="4">
        <f t="shared" si="14"/>
        <v>412</v>
      </c>
      <c r="T132">
        <f t="shared" ref="T132:T195" si="16">ROUNDDOWN(V131*$Y$2/L132,0)</f>
        <v>6</v>
      </c>
      <c r="U132" s="4">
        <f t="shared" si="15"/>
        <v>2472</v>
      </c>
      <c r="V132" s="4">
        <f t="shared" ref="V132:V195" si="17">V131+U132</f>
        <v>296754</v>
      </c>
    </row>
    <row r="133" spans="1:22" x14ac:dyDescent="0.25">
      <c r="A133" s="1">
        <v>145</v>
      </c>
      <c r="B133" s="2">
        <v>45139</v>
      </c>
      <c r="C133">
        <v>0</v>
      </c>
      <c r="D133">
        <v>90973</v>
      </c>
      <c r="E133">
        <v>92134</v>
      </c>
      <c r="F133">
        <v>90633</v>
      </c>
      <c r="G133">
        <v>91931</v>
      </c>
      <c r="H133">
        <v>823037</v>
      </c>
      <c r="I133">
        <v>1286.2</v>
      </c>
      <c r="J133">
        <v>1</v>
      </c>
      <c r="K133">
        <v>0</v>
      </c>
      <c r="L133">
        <v>423</v>
      </c>
      <c r="M133">
        <v>846</v>
      </c>
      <c r="N133">
        <v>0</v>
      </c>
      <c r="O133">
        <v>423</v>
      </c>
      <c r="P133">
        <v>423</v>
      </c>
      <c r="Q133">
        <f t="shared" si="12"/>
        <v>2023</v>
      </c>
      <c r="R133">
        <f t="shared" si="13"/>
        <v>8</v>
      </c>
      <c r="S133" s="4">
        <f t="shared" si="14"/>
        <v>413</v>
      </c>
      <c r="T133">
        <f t="shared" si="16"/>
        <v>7</v>
      </c>
      <c r="U133" s="4">
        <f t="shared" si="15"/>
        <v>2891</v>
      </c>
      <c r="V133" s="4">
        <f t="shared" si="17"/>
        <v>299645</v>
      </c>
    </row>
    <row r="134" spans="1:22" x14ac:dyDescent="0.25">
      <c r="A134" s="1">
        <v>146</v>
      </c>
      <c r="B134" s="2">
        <v>45140</v>
      </c>
      <c r="C134">
        <v>0</v>
      </c>
      <c r="D134">
        <v>91835</v>
      </c>
      <c r="E134">
        <v>93795</v>
      </c>
      <c r="F134">
        <v>91525</v>
      </c>
      <c r="G134">
        <v>93377</v>
      </c>
      <c r="H134">
        <v>1269308</v>
      </c>
      <c r="I134">
        <v>1356.47</v>
      </c>
      <c r="J134">
        <v>1</v>
      </c>
      <c r="K134">
        <v>1</v>
      </c>
      <c r="L134">
        <v>429</v>
      </c>
      <c r="M134">
        <v>857</v>
      </c>
      <c r="N134">
        <v>857</v>
      </c>
      <c r="O134">
        <v>0</v>
      </c>
      <c r="P134">
        <v>857</v>
      </c>
      <c r="Q134">
        <f t="shared" si="12"/>
        <v>2023</v>
      </c>
      <c r="R134">
        <f t="shared" si="13"/>
        <v>8</v>
      </c>
      <c r="S134" s="4">
        <f t="shared" si="14"/>
        <v>847</v>
      </c>
      <c r="T134">
        <f t="shared" si="16"/>
        <v>6</v>
      </c>
      <c r="U134" s="4">
        <f t="shared" si="15"/>
        <v>5082</v>
      </c>
      <c r="V134" s="4">
        <f t="shared" si="17"/>
        <v>304727</v>
      </c>
    </row>
    <row r="135" spans="1:22" x14ac:dyDescent="0.25">
      <c r="A135" s="1">
        <v>147</v>
      </c>
      <c r="B135" s="2">
        <v>45141</v>
      </c>
      <c r="C135">
        <v>0</v>
      </c>
      <c r="D135">
        <v>93259</v>
      </c>
      <c r="E135">
        <v>93958</v>
      </c>
      <c r="F135">
        <v>92476</v>
      </c>
      <c r="G135">
        <v>93475</v>
      </c>
      <c r="H135">
        <v>1465635</v>
      </c>
      <c r="I135">
        <v>1365.43</v>
      </c>
      <c r="J135">
        <v>1</v>
      </c>
      <c r="K135">
        <v>1</v>
      </c>
      <c r="L135">
        <v>452</v>
      </c>
      <c r="M135">
        <v>904</v>
      </c>
      <c r="N135">
        <v>295</v>
      </c>
      <c r="O135">
        <v>0</v>
      </c>
      <c r="P135">
        <v>295</v>
      </c>
      <c r="Q135">
        <f t="shared" si="12"/>
        <v>2023</v>
      </c>
      <c r="R135">
        <f t="shared" si="13"/>
        <v>8</v>
      </c>
      <c r="S135" s="4">
        <f t="shared" si="14"/>
        <v>285</v>
      </c>
      <c r="T135">
        <f t="shared" si="16"/>
        <v>6</v>
      </c>
      <c r="U135" s="4">
        <f t="shared" si="15"/>
        <v>1710</v>
      </c>
      <c r="V135" s="4">
        <f t="shared" si="17"/>
        <v>306437</v>
      </c>
    </row>
    <row r="136" spans="1:22" x14ac:dyDescent="0.25">
      <c r="A136" s="1">
        <v>148</v>
      </c>
      <c r="B136" s="2">
        <v>45142</v>
      </c>
      <c r="C136">
        <v>0</v>
      </c>
      <c r="D136">
        <v>93475</v>
      </c>
      <c r="E136">
        <v>95230</v>
      </c>
      <c r="F136">
        <v>93295</v>
      </c>
      <c r="G136">
        <v>94714</v>
      </c>
      <c r="H136">
        <v>1269498</v>
      </c>
      <c r="I136">
        <v>1406.12</v>
      </c>
      <c r="J136">
        <v>1</v>
      </c>
      <c r="K136">
        <v>1</v>
      </c>
      <c r="L136">
        <v>455</v>
      </c>
      <c r="M136">
        <v>910</v>
      </c>
      <c r="N136">
        <v>910</v>
      </c>
      <c r="O136">
        <v>0</v>
      </c>
      <c r="P136">
        <v>910</v>
      </c>
      <c r="Q136">
        <f t="shared" si="12"/>
        <v>2023</v>
      </c>
      <c r="R136">
        <f t="shared" si="13"/>
        <v>8</v>
      </c>
      <c r="S136" s="4">
        <f t="shared" si="14"/>
        <v>900</v>
      </c>
      <c r="T136">
        <f t="shared" si="16"/>
        <v>6</v>
      </c>
      <c r="U136" s="4">
        <f t="shared" si="15"/>
        <v>5400</v>
      </c>
      <c r="V136" s="4">
        <f t="shared" si="17"/>
        <v>311837</v>
      </c>
    </row>
    <row r="137" spans="1:22" x14ac:dyDescent="0.25">
      <c r="A137" s="1">
        <v>149</v>
      </c>
      <c r="B137" s="2">
        <v>45145</v>
      </c>
      <c r="C137">
        <v>0</v>
      </c>
      <c r="D137">
        <v>94698</v>
      </c>
      <c r="E137">
        <v>96102</v>
      </c>
      <c r="F137">
        <v>93300</v>
      </c>
      <c r="G137">
        <v>94358</v>
      </c>
      <c r="H137">
        <v>1587923</v>
      </c>
      <c r="I137">
        <v>1505.82</v>
      </c>
      <c r="J137">
        <v>0</v>
      </c>
      <c r="K137">
        <v>1</v>
      </c>
      <c r="L137">
        <v>469</v>
      </c>
      <c r="M137">
        <v>937</v>
      </c>
      <c r="N137">
        <v>-328</v>
      </c>
      <c r="O137">
        <v>0</v>
      </c>
      <c r="P137">
        <v>-328</v>
      </c>
      <c r="Q137">
        <f t="shared" si="12"/>
        <v>2023</v>
      </c>
      <c r="R137">
        <f t="shared" si="13"/>
        <v>8</v>
      </c>
      <c r="S137" s="4">
        <f t="shared" si="14"/>
        <v>-338</v>
      </c>
      <c r="T137">
        <f t="shared" si="16"/>
        <v>6</v>
      </c>
      <c r="U137" s="4">
        <f t="shared" si="15"/>
        <v>-2028</v>
      </c>
      <c r="V137" s="4">
        <f t="shared" si="17"/>
        <v>309809</v>
      </c>
    </row>
    <row r="138" spans="1:22" x14ac:dyDescent="0.25">
      <c r="A138" s="1">
        <v>150</v>
      </c>
      <c r="B138" s="2">
        <v>45146</v>
      </c>
      <c r="C138">
        <v>0</v>
      </c>
      <c r="D138">
        <v>94630</v>
      </c>
      <c r="E138">
        <v>96792</v>
      </c>
      <c r="F138">
        <v>94250</v>
      </c>
      <c r="G138">
        <v>96668</v>
      </c>
      <c r="H138">
        <v>1425014</v>
      </c>
      <c r="I138">
        <v>1579.84</v>
      </c>
      <c r="J138">
        <v>1</v>
      </c>
      <c r="K138">
        <v>0</v>
      </c>
      <c r="L138">
        <v>502</v>
      </c>
      <c r="M138">
        <v>1004</v>
      </c>
      <c r="N138">
        <v>0</v>
      </c>
      <c r="O138">
        <v>502</v>
      </c>
      <c r="P138">
        <v>502</v>
      </c>
      <c r="Q138">
        <f t="shared" si="12"/>
        <v>2023</v>
      </c>
      <c r="R138">
        <f t="shared" si="13"/>
        <v>8</v>
      </c>
      <c r="S138" s="4">
        <f t="shared" si="14"/>
        <v>492</v>
      </c>
      <c r="T138">
        <f t="shared" si="16"/>
        <v>6</v>
      </c>
      <c r="U138" s="4">
        <f t="shared" si="15"/>
        <v>2952</v>
      </c>
      <c r="V138" s="4">
        <f t="shared" si="17"/>
        <v>312761</v>
      </c>
    </row>
    <row r="139" spans="1:22" x14ac:dyDescent="0.25">
      <c r="A139" s="1">
        <v>151</v>
      </c>
      <c r="B139" s="2">
        <v>45147</v>
      </c>
      <c r="C139">
        <v>0</v>
      </c>
      <c r="D139">
        <v>96127</v>
      </c>
      <c r="E139">
        <v>96989</v>
      </c>
      <c r="F139">
        <v>95625</v>
      </c>
      <c r="G139">
        <v>95676</v>
      </c>
      <c r="H139">
        <v>1525811</v>
      </c>
      <c r="I139">
        <v>1564.42</v>
      </c>
      <c r="J139">
        <v>0</v>
      </c>
      <c r="K139">
        <v>1</v>
      </c>
      <c r="L139">
        <v>527</v>
      </c>
      <c r="M139">
        <v>1053</v>
      </c>
      <c r="N139">
        <v>-369</v>
      </c>
      <c r="O139">
        <v>0</v>
      </c>
      <c r="P139">
        <v>-369</v>
      </c>
      <c r="Q139">
        <f t="shared" si="12"/>
        <v>2023</v>
      </c>
      <c r="R139">
        <f t="shared" si="13"/>
        <v>8</v>
      </c>
      <c r="S139" s="4">
        <f t="shared" si="14"/>
        <v>-379</v>
      </c>
      <c r="T139">
        <f t="shared" si="16"/>
        <v>5</v>
      </c>
      <c r="U139" s="4">
        <f t="shared" si="15"/>
        <v>-1895</v>
      </c>
      <c r="V139" s="4">
        <f t="shared" si="17"/>
        <v>310866</v>
      </c>
    </row>
    <row r="140" spans="1:22" x14ac:dyDescent="0.25">
      <c r="A140" s="1">
        <v>152</v>
      </c>
      <c r="B140" s="2">
        <v>45148</v>
      </c>
      <c r="C140">
        <v>0</v>
      </c>
      <c r="D140">
        <v>95809</v>
      </c>
      <c r="E140">
        <v>96940</v>
      </c>
      <c r="F140">
        <v>95222</v>
      </c>
      <c r="G140">
        <v>96800</v>
      </c>
      <c r="H140">
        <v>1534967</v>
      </c>
      <c r="I140">
        <v>1575.39</v>
      </c>
      <c r="J140">
        <v>1</v>
      </c>
      <c r="K140">
        <v>0</v>
      </c>
      <c r="L140">
        <v>521</v>
      </c>
      <c r="M140">
        <v>1043</v>
      </c>
      <c r="N140">
        <v>0</v>
      </c>
      <c r="O140">
        <v>-933</v>
      </c>
      <c r="P140">
        <v>-933</v>
      </c>
      <c r="Q140">
        <f t="shared" si="12"/>
        <v>2023</v>
      </c>
      <c r="R140">
        <f t="shared" si="13"/>
        <v>8</v>
      </c>
      <c r="S140" s="4">
        <f t="shared" si="14"/>
        <v>-943</v>
      </c>
      <c r="T140">
        <f t="shared" si="16"/>
        <v>5</v>
      </c>
      <c r="U140" s="4">
        <f t="shared" si="15"/>
        <v>-4715</v>
      </c>
      <c r="V140" s="4">
        <f t="shared" si="17"/>
        <v>306151</v>
      </c>
    </row>
    <row r="141" spans="1:22" x14ac:dyDescent="0.25">
      <c r="A141" s="1">
        <v>153</v>
      </c>
      <c r="B141" s="2">
        <v>45149</v>
      </c>
      <c r="C141">
        <v>0</v>
      </c>
      <c r="D141">
        <v>96879</v>
      </c>
      <c r="E141">
        <v>98920</v>
      </c>
      <c r="F141">
        <v>96600</v>
      </c>
      <c r="G141">
        <v>98820</v>
      </c>
      <c r="H141">
        <v>1500082</v>
      </c>
      <c r="I141">
        <v>1628.58</v>
      </c>
      <c r="J141">
        <v>1</v>
      </c>
      <c r="K141">
        <v>1</v>
      </c>
      <c r="L141">
        <v>525</v>
      </c>
      <c r="M141">
        <v>1050</v>
      </c>
      <c r="N141">
        <v>1050</v>
      </c>
      <c r="O141">
        <v>0</v>
      </c>
      <c r="P141">
        <v>1050</v>
      </c>
      <c r="Q141">
        <f t="shared" si="12"/>
        <v>2023</v>
      </c>
      <c r="R141">
        <f t="shared" si="13"/>
        <v>8</v>
      </c>
      <c r="S141" s="4">
        <f t="shared" si="14"/>
        <v>1040</v>
      </c>
      <c r="T141">
        <f t="shared" si="16"/>
        <v>5</v>
      </c>
      <c r="U141" s="4">
        <f t="shared" si="15"/>
        <v>5200</v>
      </c>
      <c r="V141" s="4">
        <f t="shared" si="17"/>
        <v>311351</v>
      </c>
    </row>
    <row r="142" spans="1:22" x14ac:dyDescent="0.25">
      <c r="A142" s="1">
        <v>154</v>
      </c>
      <c r="B142" s="2">
        <v>45152</v>
      </c>
      <c r="C142">
        <v>0</v>
      </c>
      <c r="D142">
        <v>98950</v>
      </c>
      <c r="E142">
        <v>100783</v>
      </c>
      <c r="F142">
        <v>95708</v>
      </c>
      <c r="G142">
        <v>95750</v>
      </c>
      <c r="H142">
        <v>2902483</v>
      </c>
      <c r="I142">
        <v>1874.75</v>
      </c>
      <c r="J142">
        <v>0</v>
      </c>
      <c r="K142">
        <v>1</v>
      </c>
      <c r="L142">
        <v>543</v>
      </c>
      <c r="M142">
        <v>1086</v>
      </c>
      <c r="N142">
        <v>543</v>
      </c>
      <c r="O142">
        <v>0</v>
      </c>
      <c r="P142">
        <v>543</v>
      </c>
      <c r="Q142">
        <f t="shared" si="12"/>
        <v>2023</v>
      </c>
      <c r="R142">
        <f t="shared" si="13"/>
        <v>8</v>
      </c>
      <c r="S142" s="4">
        <f t="shared" si="14"/>
        <v>533</v>
      </c>
      <c r="T142">
        <f t="shared" si="16"/>
        <v>5</v>
      </c>
      <c r="U142" s="4">
        <f t="shared" si="15"/>
        <v>2665</v>
      </c>
      <c r="V142" s="4">
        <f t="shared" si="17"/>
        <v>314016</v>
      </c>
    </row>
    <row r="143" spans="1:22" x14ac:dyDescent="0.25">
      <c r="A143" s="1">
        <v>155</v>
      </c>
      <c r="B143" s="2">
        <v>45153</v>
      </c>
      <c r="C143">
        <v>0</v>
      </c>
      <c r="D143">
        <v>95340</v>
      </c>
      <c r="E143">
        <v>98431</v>
      </c>
      <c r="F143">
        <v>94350</v>
      </c>
      <c r="G143">
        <v>95250</v>
      </c>
      <c r="H143">
        <v>2825901</v>
      </c>
      <c r="I143">
        <v>2032.34</v>
      </c>
      <c r="J143">
        <v>0</v>
      </c>
      <c r="K143">
        <v>0</v>
      </c>
      <c r="L143">
        <v>625</v>
      </c>
      <c r="M143">
        <v>1250</v>
      </c>
      <c r="N143">
        <v>0</v>
      </c>
      <c r="O143">
        <v>-45</v>
      </c>
      <c r="P143">
        <v>-45</v>
      </c>
      <c r="Q143">
        <f t="shared" si="12"/>
        <v>2023</v>
      </c>
      <c r="R143">
        <f t="shared" si="13"/>
        <v>8</v>
      </c>
      <c r="S143" s="4">
        <f t="shared" si="14"/>
        <v>-55</v>
      </c>
      <c r="T143">
        <f t="shared" si="16"/>
        <v>5</v>
      </c>
      <c r="U143" s="4">
        <f t="shared" si="15"/>
        <v>-275</v>
      </c>
      <c r="V143" s="4">
        <f t="shared" si="17"/>
        <v>313741</v>
      </c>
    </row>
    <row r="144" spans="1:22" x14ac:dyDescent="0.25">
      <c r="A144" s="1">
        <v>156</v>
      </c>
      <c r="B144" s="2">
        <v>45154</v>
      </c>
      <c r="C144">
        <v>0</v>
      </c>
      <c r="D144">
        <v>95915</v>
      </c>
      <c r="E144">
        <v>96430</v>
      </c>
      <c r="F144">
        <v>93115</v>
      </c>
      <c r="G144">
        <v>93833</v>
      </c>
      <c r="H144">
        <v>2007495</v>
      </c>
      <c r="I144">
        <v>2123.96</v>
      </c>
      <c r="J144">
        <v>0</v>
      </c>
      <c r="K144">
        <v>0</v>
      </c>
      <c r="L144">
        <v>677</v>
      </c>
      <c r="M144">
        <v>1355</v>
      </c>
      <c r="N144">
        <v>0</v>
      </c>
      <c r="O144">
        <v>1355</v>
      </c>
      <c r="P144">
        <v>1355</v>
      </c>
      <c r="Q144">
        <f t="shared" si="12"/>
        <v>2023</v>
      </c>
      <c r="R144">
        <f t="shared" si="13"/>
        <v>8</v>
      </c>
      <c r="S144" s="4">
        <f t="shared" si="14"/>
        <v>1345</v>
      </c>
      <c r="T144">
        <f t="shared" si="16"/>
        <v>4</v>
      </c>
      <c r="U144" s="4">
        <f t="shared" si="15"/>
        <v>5380</v>
      </c>
      <c r="V144" s="4">
        <f t="shared" si="17"/>
        <v>319121</v>
      </c>
    </row>
    <row r="145" spans="1:22" x14ac:dyDescent="0.25">
      <c r="A145" s="1">
        <v>157</v>
      </c>
      <c r="B145" s="2">
        <v>45155</v>
      </c>
      <c r="C145">
        <v>0</v>
      </c>
      <c r="D145">
        <v>93456</v>
      </c>
      <c r="E145">
        <v>94481</v>
      </c>
      <c r="F145">
        <v>91700</v>
      </c>
      <c r="G145">
        <v>92692</v>
      </c>
      <c r="H145">
        <v>1970582</v>
      </c>
      <c r="I145">
        <v>2170.89</v>
      </c>
      <c r="J145">
        <v>0</v>
      </c>
      <c r="K145">
        <v>0</v>
      </c>
      <c r="L145">
        <v>708</v>
      </c>
      <c r="M145">
        <v>1416</v>
      </c>
      <c r="N145">
        <v>0</v>
      </c>
      <c r="O145">
        <v>816</v>
      </c>
      <c r="P145">
        <v>816</v>
      </c>
      <c r="Q145">
        <f t="shared" si="12"/>
        <v>2023</v>
      </c>
      <c r="R145">
        <f t="shared" si="13"/>
        <v>8</v>
      </c>
      <c r="S145" s="4">
        <f t="shared" si="14"/>
        <v>806</v>
      </c>
      <c r="T145">
        <f t="shared" si="16"/>
        <v>4</v>
      </c>
      <c r="U145" s="4">
        <f t="shared" si="15"/>
        <v>3224</v>
      </c>
      <c r="V145" s="4">
        <f t="shared" si="17"/>
        <v>322345</v>
      </c>
    </row>
    <row r="146" spans="1:22" x14ac:dyDescent="0.25">
      <c r="A146" s="1">
        <v>158</v>
      </c>
      <c r="B146" s="2">
        <v>45156</v>
      </c>
      <c r="C146">
        <v>0</v>
      </c>
      <c r="D146">
        <v>92596</v>
      </c>
      <c r="E146">
        <v>93157</v>
      </c>
      <c r="F146">
        <v>91529</v>
      </c>
      <c r="G146">
        <v>92960</v>
      </c>
      <c r="H146">
        <v>1302177</v>
      </c>
      <c r="I146">
        <v>2132.11</v>
      </c>
      <c r="J146">
        <v>1</v>
      </c>
      <c r="K146">
        <v>0</v>
      </c>
      <c r="L146">
        <v>724</v>
      </c>
      <c r="M146">
        <v>1447</v>
      </c>
      <c r="N146">
        <v>0</v>
      </c>
      <c r="O146">
        <v>-293</v>
      </c>
      <c r="P146">
        <v>-293</v>
      </c>
      <c r="Q146">
        <f t="shared" si="12"/>
        <v>2023</v>
      </c>
      <c r="R146">
        <f t="shared" si="13"/>
        <v>8</v>
      </c>
      <c r="S146" s="4">
        <f t="shared" si="14"/>
        <v>-303</v>
      </c>
      <c r="T146">
        <f t="shared" si="16"/>
        <v>4</v>
      </c>
      <c r="U146" s="4">
        <f t="shared" si="15"/>
        <v>-1212</v>
      </c>
      <c r="V146" s="4">
        <f t="shared" si="17"/>
        <v>321133</v>
      </c>
    </row>
    <row r="147" spans="1:22" x14ac:dyDescent="0.25">
      <c r="A147" s="1">
        <v>159</v>
      </c>
      <c r="B147" s="2">
        <v>45159</v>
      </c>
      <c r="C147">
        <v>0</v>
      </c>
      <c r="D147">
        <v>92703</v>
      </c>
      <c r="E147">
        <v>94027</v>
      </c>
      <c r="F147">
        <v>92222</v>
      </c>
      <c r="G147">
        <v>92745</v>
      </c>
      <c r="H147">
        <v>1565886</v>
      </c>
      <c r="I147">
        <v>2108.75</v>
      </c>
      <c r="J147">
        <v>1</v>
      </c>
      <c r="K147">
        <v>1</v>
      </c>
      <c r="L147">
        <v>711</v>
      </c>
      <c r="M147">
        <v>1421</v>
      </c>
      <c r="N147">
        <v>-2</v>
      </c>
      <c r="O147">
        <v>0</v>
      </c>
      <c r="P147">
        <v>-2</v>
      </c>
      <c r="Q147">
        <f t="shared" si="12"/>
        <v>2023</v>
      </c>
      <c r="R147">
        <f t="shared" si="13"/>
        <v>8</v>
      </c>
      <c r="S147" s="4">
        <f t="shared" si="14"/>
        <v>-12</v>
      </c>
      <c r="T147">
        <f t="shared" si="16"/>
        <v>4</v>
      </c>
      <c r="U147" s="4">
        <f t="shared" si="15"/>
        <v>-48</v>
      </c>
      <c r="V147" s="4">
        <f t="shared" si="17"/>
        <v>321085</v>
      </c>
    </row>
    <row r="148" spans="1:22" x14ac:dyDescent="0.25">
      <c r="A148" s="1">
        <v>160</v>
      </c>
      <c r="B148" s="2">
        <v>45160</v>
      </c>
      <c r="C148">
        <v>0</v>
      </c>
      <c r="D148">
        <v>92859</v>
      </c>
      <c r="E148">
        <v>93669</v>
      </c>
      <c r="F148">
        <v>92741</v>
      </c>
      <c r="G148">
        <v>93396</v>
      </c>
      <c r="H148">
        <v>1170641</v>
      </c>
      <c r="I148">
        <v>2024.41</v>
      </c>
      <c r="J148">
        <v>1</v>
      </c>
      <c r="K148">
        <v>1</v>
      </c>
      <c r="L148">
        <v>703</v>
      </c>
      <c r="M148">
        <v>1406</v>
      </c>
      <c r="N148">
        <v>528</v>
      </c>
      <c r="O148">
        <v>0</v>
      </c>
      <c r="P148">
        <v>528</v>
      </c>
      <c r="Q148">
        <f t="shared" si="12"/>
        <v>2023</v>
      </c>
      <c r="R148">
        <f t="shared" si="13"/>
        <v>8</v>
      </c>
      <c r="S148" s="4">
        <f t="shared" si="14"/>
        <v>518</v>
      </c>
      <c r="T148">
        <f t="shared" si="16"/>
        <v>4</v>
      </c>
      <c r="U148" s="4">
        <f t="shared" si="15"/>
        <v>2072</v>
      </c>
      <c r="V148" s="4">
        <f t="shared" si="17"/>
        <v>323157</v>
      </c>
    </row>
    <row r="149" spans="1:22" x14ac:dyDescent="0.25">
      <c r="A149" s="1">
        <v>161</v>
      </c>
      <c r="B149" s="2">
        <v>45161</v>
      </c>
      <c r="C149">
        <v>0</v>
      </c>
      <c r="D149">
        <v>93498</v>
      </c>
      <c r="E149">
        <v>94390</v>
      </c>
      <c r="F149">
        <v>92901</v>
      </c>
      <c r="G149">
        <v>94341</v>
      </c>
      <c r="H149">
        <v>1481995</v>
      </c>
      <c r="I149">
        <v>1986.16</v>
      </c>
      <c r="J149">
        <v>1</v>
      </c>
      <c r="K149">
        <v>1</v>
      </c>
      <c r="L149">
        <v>675</v>
      </c>
      <c r="M149">
        <v>1350</v>
      </c>
      <c r="N149">
        <v>597</v>
      </c>
      <c r="O149">
        <v>0</v>
      </c>
      <c r="P149">
        <v>597</v>
      </c>
      <c r="Q149">
        <f t="shared" si="12"/>
        <v>2023</v>
      </c>
      <c r="R149">
        <f t="shared" si="13"/>
        <v>8</v>
      </c>
      <c r="S149" s="4">
        <f t="shared" si="14"/>
        <v>587</v>
      </c>
      <c r="T149">
        <f t="shared" si="16"/>
        <v>4</v>
      </c>
      <c r="U149" s="4">
        <f t="shared" si="15"/>
        <v>2348</v>
      </c>
      <c r="V149" s="4">
        <f t="shared" si="17"/>
        <v>325505</v>
      </c>
    </row>
    <row r="150" spans="1:22" x14ac:dyDescent="0.25">
      <c r="A150" s="1">
        <v>162</v>
      </c>
      <c r="B150" s="2">
        <v>45162</v>
      </c>
      <c r="C150">
        <v>0</v>
      </c>
      <c r="D150">
        <v>93902</v>
      </c>
      <c r="E150">
        <v>94296</v>
      </c>
      <c r="F150">
        <v>93542</v>
      </c>
      <c r="G150">
        <v>94150</v>
      </c>
      <c r="H150">
        <v>902368</v>
      </c>
      <c r="I150">
        <v>1901.37</v>
      </c>
      <c r="J150">
        <v>1</v>
      </c>
      <c r="K150">
        <v>1</v>
      </c>
      <c r="L150">
        <v>662</v>
      </c>
      <c r="M150">
        <v>1324</v>
      </c>
      <c r="N150">
        <v>204</v>
      </c>
      <c r="O150">
        <v>0</v>
      </c>
      <c r="P150">
        <v>204</v>
      </c>
      <c r="Q150">
        <f t="shared" si="12"/>
        <v>2023</v>
      </c>
      <c r="R150">
        <f t="shared" si="13"/>
        <v>8</v>
      </c>
      <c r="S150" s="4">
        <f t="shared" si="14"/>
        <v>194</v>
      </c>
      <c r="T150">
        <f t="shared" si="16"/>
        <v>4</v>
      </c>
      <c r="U150" s="4">
        <f t="shared" si="15"/>
        <v>776</v>
      </c>
      <c r="V150" s="4">
        <f t="shared" si="17"/>
        <v>326281</v>
      </c>
    </row>
    <row r="151" spans="1:22" x14ac:dyDescent="0.25">
      <c r="A151" s="1">
        <v>163</v>
      </c>
      <c r="B151" s="2">
        <v>45163</v>
      </c>
      <c r="C151">
        <v>0</v>
      </c>
      <c r="D151">
        <v>94140</v>
      </c>
      <c r="E151">
        <v>95540</v>
      </c>
      <c r="F151">
        <v>93931</v>
      </c>
      <c r="G151">
        <v>95266</v>
      </c>
      <c r="H151">
        <v>1255659</v>
      </c>
      <c r="I151">
        <v>1880.48</v>
      </c>
      <c r="J151">
        <v>1</v>
      </c>
      <c r="K151">
        <v>1</v>
      </c>
      <c r="L151">
        <v>634</v>
      </c>
      <c r="M151">
        <v>1268</v>
      </c>
      <c r="N151">
        <v>1246</v>
      </c>
      <c r="O151">
        <v>0</v>
      </c>
      <c r="P151">
        <v>1246</v>
      </c>
      <c r="Q151">
        <f t="shared" si="12"/>
        <v>2023</v>
      </c>
      <c r="R151">
        <f t="shared" si="13"/>
        <v>8</v>
      </c>
      <c r="S151" s="4">
        <f t="shared" si="14"/>
        <v>1236</v>
      </c>
      <c r="T151">
        <f t="shared" si="16"/>
        <v>5</v>
      </c>
      <c r="U151" s="4">
        <f t="shared" si="15"/>
        <v>6180</v>
      </c>
      <c r="V151" s="4">
        <f t="shared" si="17"/>
        <v>332461</v>
      </c>
    </row>
    <row r="152" spans="1:22" x14ac:dyDescent="0.25">
      <c r="A152" s="1">
        <v>164</v>
      </c>
      <c r="B152" s="2">
        <v>45166</v>
      </c>
      <c r="C152">
        <v>0</v>
      </c>
      <c r="D152">
        <v>95396</v>
      </c>
      <c r="E152">
        <v>95818</v>
      </c>
      <c r="F152">
        <v>95027</v>
      </c>
      <c r="G152">
        <v>95234</v>
      </c>
      <c r="H152">
        <v>1217451</v>
      </c>
      <c r="I152">
        <v>1802.66</v>
      </c>
      <c r="J152">
        <v>0</v>
      </c>
      <c r="K152">
        <v>1</v>
      </c>
      <c r="L152">
        <v>627</v>
      </c>
      <c r="M152">
        <v>1254</v>
      </c>
      <c r="N152">
        <v>-90</v>
      </c>
      <c r="O152">
        <v>0</v>
      </c>
      <c r="P152">
        <v>-90</v>
      </c>
      <c r="Q152">
        <f t="shared" si="12"/>
        <v>2023</v>
      </c>
      <c r="R152">
        <f t="shared" si="13"/>
        <v>8</v>
      </c>
      <c r="S152" s="4">
        <f t="shared" si="14"/>
        <v>-100</v>
      </c>
      <c r="T152">
        <f t="shared" si="16"/>
        <v>5</v>
      </c>
      <c r="U152" s="4">
        <f t="shared" si="15"/>
        <v>-500</v>
      </c>
      <c r="V152" s="4">
        <f t="shared" si="17"/>
        <v>331961</v>
      </c>
    </row>
    <row r="153" spans="1:22" x14ac:dyDescent="0.25">
      <c r="A153" s="1">
        <v>165</v>
      </c>
      <c r="B153" s="2">
        <v>45167</v>
      </c>
      <c r="C153">
        <v>0</v>
      </c>
      <c r="D153">
        <v>95382</v>
      </c>
      <c r="E153">
        <v>96300</v>
      </c>
      <c r="F153">
        <v>95072</v>
      </c>
      <c r="G153">
        <v>95470</v>
      </c>
      <c r="H153">
        <v>1364097</v>
      </c>
      <c r="I153">
        <v>1761.62</v>
      </c>
      <c r="J153">
        <v>1</v>
      </c>
      <c r="K153">
        <v>0</v>
      </c>
      <c r="L153">
        <v>601</v>
      </c>
      <c r="M153">
        <v>1202</v>
      </c>
      <c r="N153">
        <v>0</v>
      </c>
      <c r="O153">
        <v>-57</v>
      </c>
      <c r="P153">
        <v>-57</v>
      </c>
      <c r="Q153">
        <f t="shared" si="12"/>
        <v>2023</v>
      </c>
      <c r="R153">
        <f t="shared" si="13"/>
        <v>8</v>
      </c>
      <c r="S153" s="4">
        <f t="shared" si="14"/>
        <v>-67</v>
      </c>
      <c r="T153">
        <f t="shared" si="16"/>
        <v>5</v>
      </c>
      <c r="U153" s="4">
        <f t="shared" si="15"/>
        <v>-335</v>
      </c>
      <c r="V153" s="4">
        <f t="shared" si="17"/>
        <v>331626</v>
      </c>
    </row>
    <row r="154" spans="1:22" x14ac:dyDescent="0.25">
      <c r="A154" s="1">
        <v>166</v>
      </c>
      <c r="B154" s="2">
        <v>45168</v>
      </c>
      <c r="C154">
        <v>0</v>
      </c>
      <c r="D154">
        <v>95731</v>
      </c>
      <c r="E154">
        <v>96245</v>
      </c>
      <c r="F154">
        <v>95507</v>
      </c>
      <c r="G154">
        <v>96217</v>
      </c>
      <c r="H154">
        <v>763192</v>
      </c>
      <c r="I154">
        <v>1691.14</v>
      </c>
      <c r="J154">
        <v>1</v>
      </c>
      <c r="K154">
        <v>1</v>
      </c>
      <c r="L154">
        <v>587</v>
      </c>
      <c r="M154">
        <v>1174</v>
      </c>
      <c r="N154">
        <v>501</v>
      </c>
      <c r="O154">
        <v>0</v>
      </c>
      <c r="P154">
        <v>501</v>
      </c>
      <c r="Q154">
        <f t="shared" si="12"/>
        <v>2023</v>
      </c>
      <c r="R154">
        <f t="shared" si="13"/>
        <v>8</v>
      </c>
      <c r="S154" s="4">
        <f t="shared" si="14"/>
        <v>491</v>
      </c>
      <c r="T154">
        <f t="shared" si="16"/>
        <v>5</v>
      </c>
      <c r="U154" s="4">
        <f t="shared" si="15"/>
        <v>2455</v>
      </c>
      <c r="V154" s="4">
        <f t="shared" si="17"/>
        <v>334081</v>
      </c>
    </row>
    <row r="155" spans="1:22" x14ac:dyDescent="0.25">
      <c r="A155" s="1">
        <v>167</v>
      </c>
      <c r="B155" s="2">
        <v>45169</v>
      </c>
      <c r="C155">
        <v>0</v>
      </c>
      <c r="D155">
        <v>96300</v>
      </c>
      <c r="E155">
        <v>96423</v>
      </c>
      <c r="F155">
        <v>95342</v>
      </c>
      <c r="G155">
        <v>95825</v>
      </c>
      <c r="H155">
        <v>1125960</v>
      </c>
      <c r="I155">
        <v>1647.56</v>
      </c>
      <c r="J155">
        <v>0</v>
      </c>
      <c r="K155">
        <v>1</v>
      </c>
      <c r="L155">
        <v>564</v>
      </c>
      <c r="M155">
        <v>1127</v>
      </c>
      <c r="N155">
        <v>-432</v>
      </c>
      <c r="O155">
        <v>0</v>
      </c>
      <c r="P155">
        <v>-432</v>
      </c>
      <c r="Q155">
        <f t="shared" si="12"/>
        <v>2023</v>
      </c>
      <c r="R155">
        <f t="shared" si="13"/>
        <v>8</v>
      </c>
      <c r="S155" s="4">
        <f t="shared" si="14"/>
        <v>-442</v>
      </c>
      <c r="T155">
        <f t="shared" si="16"/>
        <v>5</v>
      </c>
      <c r="U155" s="4">
        <f t="shared" si="15"/>
        <v>-2210</v>
      </c>
      <c r="V155" s="4">
        <f t="shared" si="17"/>
        <v>331871</v>
      </c>
    </row>
    <row r="156" spans="1:22" x14ac:dyDescent="0.25">
      <c r="A156" s="1">
        <v>168</v>
      </c>
      <c r="B156" s="2">
        <v>45170</v>
      </c>
      <c r="C156">
        <v>0</v>
      </c>
      <c r="D156">
        <v>95902</v>
      </c>
      <c r="E156">
        <v>96643</v>
      </c>
      <c r="F156">
        <v>95550</v>
      </c>
      <c r="G156">
        <v>96139</v>
      </c>
      <c r="H156">
        <v>1356212</v>
      </c>
      <c r="I156">
        <v>1607.95</v>
      </c>
      <c r="J156">
        <v>1</v>
      </c>
      <c r="K156">
        <v>0</v>
      </c>
      <c r="L156">
        <v>549</v>
      </c>
      <c r="M156">
        <v>1098</v>
      </c>
      <c r="N156">
        <v>0</v>
      </c>
      <c r="O156">
        <v>-280</v>
      </c>
      <c r="P156">
        <v>-280</v>
      </c>
      <c r="Q156">
        <f t="shared" si="12"/>
        <v>2023</v>
      </c>
      <c r="R156">
        <f t="shared" si="13"/>
        <v>9</v>
      </c>
      <c r="S156" s="4">
        <f t="shared" si="14"/>
        <v>-290</v>
      </c>
      <c r="T156">
        <f t="shared" si="16"/>
        <v>6</v>
      </c>
      <c r="U156" s="4">
        <f t="shared" si="15"/>
        <v>-1740</v>
      </c>
      <c r="V156" s="4">
        <f t="shared" si="17"/>
        <v>330131</v>
      </c>
    </row>
    <row r="157" spans="1:22" x14ac:dyDescent="0.25">
      <c r="A157" s="1">
        <v>169</v>
      </c>
      <c r="B157" s="2">
        <v>45173</v>
      </c>
      <c r="C157">
        <v>0</v>
      </c>
      <c r="D157">
        <v>96182</v>
      </c>
      <c r="E157">
        <v>96894</v>
      </c>
      <c r="F157">
        <v>96111</v>
      </c>
      <c r="G157">
        <v>96855</v>
      </c>
      <c r="H157">
        <v>703039</v>
      </c>
      <c r="I157">
        <v>1549.02</v>
      </c>
      <c r="J157">
        <v>1</v>
      </c>
      <c r="K157">
        <v>1</v>
      </c>
      <c r="L157">
        <v>536</v>
      </c>
      <c r="M157">
        <v>1072</v>
      </c>
      <c r="N157">
        <v>683</v>
      </c>
      <c r="O157">
        <v>0</v>
      </c>
      <c r="P157">
        <v>683</v>
      </c>
      <c r="Q157">
        <f t="shared" si="12"/>
        <v>2023</v>
      </c>
      <c r="R157">
        <f t="shared" si="13"/>
        <v>9</v>
      </c>
      <c r="S157" s="4">
        <f t="shared" si="14"/>
        <v>673</v>
      </c>
      <c r="T157">
        <f t="shared" si="16"/>
        <v>6</v>
      </c>
      <c r="U157" s="4">
        <f t="shared" si="15"/>
        <v>4038</v>
      </c>
      <c r="V157" s="4">
        <f t="shared" si="17"/>
        <v>334169</v>
      </c>
    </row>
    <row r="158" spans="1:22" x14ac:dyDescent="0.25">
      <c r="A158" s="1">
        <v>170</v>
      </c>
      <c r="B158" s="2">
        <v>45174</v>
      </c>
      <c r="C158">
        <v>0</v>
      </c>
      <c r="D158">
        <v>96942</v>
      </c>
      <c r="E158">
        <v>97989</v>
      </c>
      <c r="F158">
        <v>96942</v>
      </c>
      <c r="G158">
        <v>97949</v>
      </c>
      <c r="H158">
        <v>885357</v>
      </c>
      <c r="I158">
        <v>1519.38</v>
      </c>
      <c r="J158">
        <v>1</v>
      </c>
      <c r="K158">
        <v>1</v>
      </c>
      <c r="L158">
        <v>516</v>
      </c>
      <c r="M158">
        <v>1033</v>
      </c>
      <c r="N158">
        <v>1033</v>
      </c>
      <c r="O158">
        <v>0</v>
      </c>
      <c r="P158">
        <v>1033</v>
      </c>
      <c r="Q158">
        <f t="shared" si="12"/>
        <v>2023</v>
      </c>
      <c r="R158">
        <f t="shared" si="13"/>
        <v>9</v>
      </c>
      <c r="S158" s="4">
        <f t="shared" si="14"/>
        <v>1023</v>
      </c>
      <c r="T158">
        <f t="shared" si="16"/>
        <v>6</v>
      </c>
      <c r="U158" s="4">
        <f t="shared" si="15"/>
        <v>6138</v>
      </c>
      <c r="V158" s="4">
        <f t="shared" si="17"/>
        <v>340307</v>
      </c>
    </row>
    <row r="159" spans="1:22" x14ac:dyDescent="0.25">
      <c r="A159" s="1">
        <v>171</v>
      </c>
      <c r="B159" s="2">
        <v>45175</v>
      </c>
      <c r="C159">
        <v>0</v>
      </c>
      <c r="D159">
        <v>97949</v>
      </c>
      <c r="E159">
        <v>98499</v>
      </c>
      <c r="F159">
        <v>97309</v>
      </c>
      <c r="G159">
        <v>98262</v>
      </c>
      <c r="H159">
        <v>1240645</v>
      </c>
      <c r="I159">
        <v>1495.85</v>
      </c>
      <c r="J159">
        <v>1</v>
      </c>
      <c r="K159">
        <v>1</v>
      </c>
      <c r="L159">
        <v>506</v>
      </c>
      <c r="M159">
        <v>1013</v>
      </c>
      <c r="N159">
        <v>344</v>
      </c>
      <c r="O159">
        <v>0</v>
      </c>
      <c r="P159">
        <v>344</v>
      </c>
      <c r="Q159">
        <f t="shared" si="12"/>
        <v>2023</v>
      </c>
      <c r="R159">
        <f t="shared" si="13"/>
        <v>9</v>
      </c>
      <c r="S159" s="4">
        <f t="shared" si="14"/>
        <v>334</v>
      </c>
      <c r="T159">
        <f t="shared" si="16"/>
        <v>6</v>
      </c>
      <c r="U159" s="4">
        <f t="shared" si="15"/>
        <v>2004</v>
      </c>
      <c r="V159" s="4">
        <f t="shared" si="17"/>
        <v>342311</v>
      </c>
    </row>
    <row r="160" spans="1:22" x14ac:dyDescent="0.25">
      <c r="A160" s="1">
        <v>172</v>
      </c>
      <c r="B160" s="2">
        <v>45176</v>
      </c>
      <c r="C160">
        <v>0</v>
      </c>
      <c r="D160">
        <v>98264</v>
      </c>
      <c r="E160">
        <v>98655</v>
      </c>
      <c r="F160">
        <v>97116</v>
      </c>
      <c r="G160">
        <v>98346</v>
      </c>
      <c r="H160">
        <v>1572811</v>
      </c>
      <c r="I160">
        <v>1498.93</v>
      </c>
      <c r="J160">
        <v>1</v>
      </c>
      <c r="K160">
        <v>1</v>
      </c>
      <c r="L160">
        <v>499</v>
      </c>
      <c r="M160">
        <v>997</v>
      </c>
      <c r="N160">
        <v>180</v>
      </c>
      <c r="O160">
        <v>0</v>
      </c>
      <c r="P160">
        <v>180</v>
      </c>
      <c r="Q160">
        <f t="shared" si="12"/>
        <v>2023</v>
      </c>
      <c r="R160">
        <f t="shared" si="13"/>
        <v>9</v>
      </c>
      <c r="S160" s="4">
        <f t="shared" si="14"/>
        <v>170</v>
      </c>
      <c r="T160">
        <f t="shared" si="16"/>
        <v>6</v>
      </c>
      <c r="U160" s="4">
        <f t="shared" si="15"/>
        <v>1020</v>
      </c>
      <c r="V160" s="4">
        <f t="shared" si="17"/>
        <v>343331</v>
      </c>
    </row>
    <row r="161" spans="1:22" x14ac:dyDescent="0.25">
      <c r="A161" s="1">
        <v>173</v>
      </c>
      <c r="B161" s="2">
        <v>45177</v>
      </c>
      <c r="C161">
        <v>0</v>
      </c>
      <c r="D161">
        <v>98400</v>
      </c>
      <c r="E161">
        <v>98444</v>
      </c>
      <c r="F161">
        <v>97538</v>
      </c>
      <c r="G161">
        <v>97670</v>
      </c>
      <c r="H161">
        <v>1064091</v>
      </c>
      <c r="I161">
        <v>1456.58</v>
      </c>
      <c r="J161">
        <v>0</v>
      </c>
      <c r="K161">
        <v>1</v>
      </c>
      <c r="L161">
        <v>500</v>
      </c>
      <c r="M161">
        <v>999</v>
      </c>
      <c r="N161">
        <v>500</v>
      </c>
      <c r="O161">
        <v>0</v>
      </c>
      <c r="P161">
        <v>500</v>
      </c>
      <c r="Q161">
        <f t="shared" si="12"/>
        <v>2023</v>
      </c>
      <c r="R161">
        <f t="shared" si="13"/>
        <v>9</v>
      </c>
      <c r="S161" s="4">
        <f t="shared" si="14"/>
        <v>490</v>
      </c>
      <c r="T161">
        <f t="shared" si="16"/>
        <v>6</v>
      </c>
      <c r="U161" s="4">
        <f t="shared" si="15"/>
        <v>2940</v>
      </c>
      <c r="V161" s="4">
        <f t="shared" si="17"/>
        <v>346271</v>
      </c>
    </row>
    <row r="162" spans="1:22" x14ac:dyDescent="0.25">
      <c r="A162" s="1">
        <v>174</v>
      </c>
      <c r="B162" s="2">
        <v>45180</v>
      </c>
      <c r="C162">
        <v>0</v>
      </c>
      <c r="D162">
        <v>97320</v>
      </c>
      <c r="E162">
        <v>97320</v>
      </c>
      <c r="F162">
        <v>94676</v>
      </c>
      <c r="G162">
        <v>94796</v>
      </c>
      <c r="H162">
        <v>1675899</v>
      </c>
      <c r="I162">
        <v>1566.4</v>
      </c>
      <c r="J162">
        <v>0</v>
      </c>
      <c r="K162">
        <v>0</v>
      </c>
      <c r="L162">
        <v>486</v>
      </c>
      <c r="M162">
        <v>971</v>
      </c>
      <c r="N162">
        <v>0</v>
      </c>
      <c r="O162">
        <v>971</v>
      </c>
      <c r="P162">
        <v>971</v>
      </c>
      <c r="Q162">
        <f t="shared" si="12"/>
        <v>2023</v>
      </c>
      <c r="R162">
        <f t="shared" si="13"/>
        <v>9</v>
      </c>
      <c r="S162" s="4">
        <f t="shared" si="14"/>
        <v>961</v>
      </c>
      <c r="T162">
        <f t="shared" si="16"/>
        <v>7</v>
      </c>
      <c r="U162" s="4">
        <f t="shared" si="15"/>
        <v>6727</v>
      </c>
      <c r="V162" s="4">
        <f t="shared" si="17"/>
        <v>352998</v>
      </c>
    </row>
    <row r="163" spans="1:22" x14ac:dyDescent="0.25">
      <c r="A163" s="1">
        <v>175</v>
      </c>
      <c r="B163" s="2">
        <v>45181</v>
      </c>
      <c r="C163">
        <v>0</v>
      </c>
      <c r="D163">
        <v>94095</v>
      </c>
      <c r="E163">
        <v>95548</v>
      </c>
      <c r="F163">
        <v>93744</v>
      </c>
      <c r="G163">
        <v>95148</v>
      </c>
      <c r="H163">
        <v>1816171</v>
      </c>
      <c r="I163">
        <v>1583.37</v>
      </c>
      <c r="J163">
        <v>1</v>
      </c>
      <c r="K163">
        <v>0</v>
      </c>
      <c r="L163">
        <v>522</v>
      </c>
      <c r="M163">
        <v>1044</v>
      </c>
      <c r="N163">
        <v>0</v>
      </c>
      <c r="O163">
        <v>522</v>
      </c>
      <c r="P163">
        <v>522</v>
      </c>
      <c r="Q163">
        <f t="shared" si="12"/>
        <v>2023</v>
      </c>
      <c r="R163">
        <f t="shared" si="13"/>
        <v>9</v>
      </c>
      <c r="S163" s="4">
        <f t="shared" si="14"/>
        <v>512</v>
      </c>
      <c r="T163">
        <f t="shared" si="16"/>
        <v>6</v>
      </c>
      <c r="U163" s="4">
        <f t="shared" si="15"/>
        <v>3072</v>
      </c>
      <c r="V163" s="4">
        <f t="shared" si="17"/>
        <v>356070</v>
      </c>
    </row>
    <row r="164" spans="1:22" x14ac:dyDescent="0.25">
      <c r="A164" s="1">
        <v>176</v>
      </c>
      <c r="B164" s="2">
        <v>45182</v>
      </c>
      <c r="C164">
        <v>0</v>
      </c>
      <c r="D164">
        <v>95162</v>
      </c>
      <c r="E164">
        <v>96739</v>
      </c>
      <c r="F164">
        <v>95162</v>
      </c>
      <c r="G164">
        <v>96408</v>
      </c>
      <c r="H164">
        <v>956945</v>
      </c>
      <c r="I164">
        <v>1583.91</v>
      </c>
      <c r="J164">
        <v>1</v>
      </c>
      <c r="K164">
        <v>1</v>
      </c>
      <c r="L164">
        <v>528</v>
      </c>
      <c r="M164">
        <v>1056</v>
      </c>
      <c r="N164">
        <v>1056</v>
      </c>
      <c r="O164">
        <v>0</v>
      </c>
      <c r="P164">
        <v>1056</v>
      </c>
      <c r="Q164">
        <f t="shared" si="12"/>
        <v>2023</v>
      </c>
      <c r="R164">
        <f t="shared" si="13"/>
        <v>9</v>
      </c>
      <c r="S164" s="4">
        <f t="shared" si="14"/>
        <v>1046</v>
      </c>
      <c r="T164">
        <f t="shared" si="16"/>
        <v>6</v>
      </c>
      <c r="U164" s="4">
        <f t="shared" si="15"/>
        <v>6276</v>
      </c>
      <c r="V164" s="4">
        <f t="shared" si="17"/>
        <v>362346</v>
      </c>
    </row>
    <row r="165" spans="1:22" x14ac:dyDescent="0.25">
      <c r="A165" s="1">
        <v>177</v>
      </c>
      <c r="B165" s="2">
        <v>45183</v>
      </c>
      <c r="C165">
        <v>0</v>
      </c>
      <c r="D165">
        <v>96468</v>
      </c>
      <c r="E165">
        <v>97049</v>
      </c>
      <c r="F165">
        <v>95653</v>
      </c>
      <c r="G165">
        <v>96634</v>
      </c>
      <c r="H165">
        <v>2088277</v>
      </c>
      <c r="I165">
        <v>1570.49</v>
      </c>
      <c r="J165">
        <v>1</v>
      </c>
      <c r="K165">
        <v>1</v>
      </c>
      <c r="L165">
        <v>528</v>
      </c>
      <c r="M165">
        <v>1056</v>
      </c>
      <c r="N165">
        <v>176</v>
      </c>
      <c r="O165">
        <v>0</v>
      </c>
      <c r="P165">
        <v>176</v>
      </c>
      <c r="Q165">
        <f t="shared" si="12"/>
        <v>2023</v>
      </c>
      <c r="R165">
        <f t="shared" si="13"/>
        <v>9</v>
      </c>
      <c r="S165" s="4">
        <f t="shared" si="14"/>
        <v>166</v>
      </c>
      <c r="T165">
        <f t="shared" si="16"/>
        <v>6</v>
      </c>
      <c r="U165" s="4">
        <f t="shared" si="15"/>
        <v>996</v>
      </c>
      <c r="V165" s="4">
        <f t="shared" si="17"/>
        <v>363342</v>
      </c>
    </row>
    <row r="166" spans="1:22" x14ac:dyDescent="0.25">
      <c r="A166" s="1">
        <v>178</v>
      </c>
      <c r="B166" s="2">
        <v>45184</v>
      </c>
      <c r="C166">
        <v>0</v>
      </c>
      <c r="D166">
        <v>96660</v>
      </c>
      <c r="E166">
        <v>97298</v>
      </c>
      <c r="F166">
        <v>95957</v>
      </c>
      <c r="G166">
        <v>96500</v>
      </c>
      <c r="H166">
        <v>1793238</v>
      </c>
      <c r="I166">
        <v>1554.1</v>
      </c>
      <c r="J166">
        <v>0</v>
      </c>
      <c r="K166">
        <v>1</v>
      </c>
      <c r="L166">
        <v>523</v>
      </c>
      <c r="M166">
        <v>1047</v>
      </c>
      <c r="N166">
        <v>-66</v>
      </c>
      <c r="O166">
        <v>0</v>
      </c>
      <c r="P166">
        <v>-66</v>
      </c>
      <c r="Q166">
        <f t="shared" si="12"/>
        <v>2023</v>
      </c>
      <c r="R166">
        <f t="shared" si="13"/>
        <v>9</v>
      </c>
      <c r="S166" s="4">
        <f t="shared" si="14"/>
        <v>-76</v>
      </c>
      <c r="T166">
        <f t="shared" si="16"/>
        <v>6</v>
      </c>
      <c r="U166" s="4">
        <f t="shared" si="15"/>
        <v>-456</v>
      </c>
      <c r="V166" s="4">
        <f t="shared" si="17"/>
        <v>362886</v>
      </c>
    </row>
    <row r="167" spans="1:22" x14ac:dyDescent="0.25">
      <c r="A167" s="1">
        <v>179</v>
      </c>
      <c r="B167" s="2">
        <v>45187</v>
      </c>
      <c r="C167">
        <v>0</v>
      </c>
      <c r="D167">
        <v>96520</v>
      </c>
      <c r="E167">
        <v>97203</v>
      </c>
      <c r="F167">
        <v>96268</v>
      </c>
      <c r="G167">
        <v>96389</v>
      </c>
      <c r="H167">
        <v>1292019</v>
      </c>
      <c r="I167">
        <v>1509.88</v>
      </c>
      <c r="J167">
        <v>0</v>
      </c>
      <c r="K167">
        <v>0</v>
      </c>
      <c r="L167">
        <v>518</v>
      </c>
      <c r="M167">
        <v>1036</v>
      </c>
      <c r="N167">
        <v>0</v>
      </c>
      <c r="O167">
        <v>100</v>
      </c>
      <c r="P167">
        <v>100</v>
      </c>
      <c r="Q167">
        <f t="shared" si="12"/>
        <v>2023</v>
      </c>
      <c r="R167">
        <f t="shared" si="13"/>
        <v>9</v>
      </c>
      <c r="S167" s="4">
        <f t="shared" si="14"/>
        <v>90</v>
      </c>
      <c r="T167">
        <f t="shared" si="16"/>
        <v>7</v>
      </c>
      <c r="U167" s="4">
        <f t="shared" si="15"/>
        <v>630</v>
      </c>
      <c r="V167" s="4">
        <f t="shared" si="17"/>
        <v>363516</v>
      </c>
    </row>
    <row r="168" spans="1:22" x14ac:dyDescent="0.25">
      <c r="A168" s="1">
        <v>180</v>
      </c>
      <c r="B168" s="2">
        <v>45188</v>
      </c>
      <c r="C168">
        <v>0</v>
      </c>
      <c r="D168">
        <v>96399</v>
      </c>
      <c r="E168">
        <v>97644</v>
      </c>
      <c r="F168">
        <v>95880</v>
      </c>
      <c r="G168">
        <v>96821</v>
      </c>
      <c r="H168">
        <v>1125280</v>
      </c>
      <c r="I168">
        <v>1528.03</v>
      </c>
      <c r="J168">
        <v>1</v>
      </c>
      <c r="K168">
        <v>0</v>
      </c>
      <c r="L168">
        <v>503</v>
      </c>
      <c r="M168">
        <v>1007</v>
      </c>
      <c r="N168">
        <v>0</v>
      </c>
      <c r="O168">
        <v>-429</v>
      </c>
      <c r="P168">
        <v>-429</v>
      </c>
      <c r="Q168">
        <f t="shared" si="12"/>
        <v>2023</v>
      </c>
      <c r="R168">
        <f t="shared" si="13"/>
        <v>9</v>
      </c>
      <c r="S168" s="4">
        <f t="shared" si="14"/>
        <v>-439</v>
      </c>
      <c r="T168">
        <f t="shared" si="16"/>
        <v>7</v>
      </c>
      <c r="U168" s="4">
        <f t="shared" si="15"/>
        <v>-3073</v>
      </c>
      <c r="V168" s="4">
        <f t="shared" si="17"/>
        <v>360443</v>
      </c>
    </row>
    <row r="169" spans="1:22" x14ac:dyDescent="0.25">
      <c r="A169" s="1">
        <v>181</v>
      </c>
      <c r="B169" s="2">
        <v>45189</v>
      </c>
      <c r="C169">
        <v>0</v>
      </c>
      <c r="D169">
        <v>95445</v>
      </c>
      <c r="E169">
        <v>95843</v>
      </c>
      <c r="F169">
        <v>94440</v>
      </c>
      <c r="G169">
        <v>94660</v>
      </c>
      <c r="H169">
        <v>999263</v>
      </c>
      <c r="I169">
        <v>1588.96</v>
      </c>
      <c r="J169">
        <v>0</v>
      </c>
      <c r="K169">
        <v>1</v>
      </c>
      <c r="L169">
        <v>509</v>
      </c>
      <c r="M169">
        <v>1019</v>
      </c>
      <c r="N169">
        <v>509</v>
      </c>
      <c r="O169">
        <v>0</v>
      </c>
      <c r="P169">
        <v>509</v>
      </c>
      <c r="Q169">
        <f t="shared" si="12"/>
        <v>2023</v>
      </c>
      <c r="R169">
        <f t="shared" si="13"/>
        <v>9</v>
      </c>
      <c r="S169" s="4">
        <f t="shared" si="14"/>
        <v>499</v>
      </c>
      <c r="T169">
        <f t="shared" si="16"/>
        <v>7</v>
      </c>
      <c r="U169" s="4">
        <f t="shared" si="15"/>
        <v>3493</v>
      </c>
      <c r="V169" s="4">
        <f t="shared" si="17"/>
        <v>363936</v>
      </c>
    </row>
    <row r="170" spans="1:22" x14ac:dyDescent="0.25">
      <c r="A170" s="1">
        <v>182</v>
      </c>
      <c r="B170" s="2">
        <v>45190</v>
      </c>
      <c r="C170">
        <v>0</v>
      </c>
      <c r="D170">
        <v>94665</v>
      </c>
      <c r="E170">
        <v>95640</v>
      </c>
      <c r="F170">
        <v>93889</v>
      </c>
      <c r="G170">
        <v>95274</v>
      </c>
      <c r="H170">
        <v>1662869</v>
      </c>
      <c r="I170">
        <v>1600.53</v>
      </c>
      <c r="J170">
        <v>1</v>
      </c>
      <c r="K170">
        <v>0</v>
      </c>
      <c r="L170">
        <v>530</v>
      </c>
      <c r="M170">
        <v>1059</v>
      </c>
      <c r="N170">
        <v>0</v>
      </c>
      <c r="O170">
        <v>-607</v>
      </c>
      <c r="P170">
        <v>-607</v>
      </c>
      <c r="Q170">
        <f t="shared" si="12"/>
        <v>2023</v>
      </c>
      <c r="R170">
        <f t="shared" si="13"/>
        <v>9</v>
      </c>
      <c r="S170" s="4">
        <f t="shared" si="14"/>
        <v>-617</v>
      </c>
      <c r="T170">
        <f t="shared" si="16"/>
        <v>6</v>
      </c>
      <c r="U170" s="4">
        <f t="shared" si="15"/>
        <v>-3702</v>
      </c>
      <c r="V170" s="4">
        <f t="shared" si="17"/>
        <v>360234</v>
      </c>
    </row>
    <row r="171" spans="1:22" x14ac:dyDescent="0.25">
      <c r="A171" s="1">
        <v>183</v>
      </c>
      <c r="B171" s="2">
        <v>45191</v>
      </c>
      <c r="C171">
        <v>0</v>
      </c>
      <c r="D171">
        <v>95300</v>
      </c>
      <c r="E171">
        <v>95969</v>
      </c>
      <c r="F171">
        <v>95138</v>
      </c>
      <c r="G171">
        <v>95888</v>
      </c>
      <c r="H171">
        <v>853908</v>
      </c>
      <c r="I171">
        <v>1545.56</v>
      </c>
      <c r="J171">
        <v>1</v>
      </c>
      <c r="K171">
        <v>1</v>
      </c>
      <c r="L171">
        <v>534</v>
      </c>
      <c r="M171">
        <v>1067</v>
      </c>
      <c r="N171">
        <v>493</v>
      </c>
      <c r="O171">
        <v>0</v>
      </c>
      <c r="P171">
        <v>493</v>
      </c>
      <c r="Q171">
        <f t="shared" si="12"/>
        <v>2023</v>
      </c>
      <c r="R171">
        <f t="shared" si="13"/>
        <v>9</v>
      </c>
      <c r="S171" s="4">
        <f t="shared" si="14"/>
        <v>483</v>
      </c>
      <c r="T171">
        <f t="shared" si="16"/>
        <v>6</v>
      </c>
      <c r="U171" s="4">
        <f t="shared" si="15"/>
        <v>2898</v>
      </c>
      <c r="V171" s="4">
        <f t="shared" si="17"/>
        <v>363132</v>
      </c>
    </row>
    <row r="172" spans="1:22" x14ac:dyDescent="0.25">
      <c r="A172" s="1">
        <v>184</v>
      </c>
      <c r="B172" s="2">
        <v>45194</v>
      </c>
      <c r="C172">
        <v>0</v>
      </c>
      <c r="D172">
        <v>95875</v>
      </c>
      <c r="E172">
        <v>96112</v>
      </c>
      <c r="F172">
        <v>95084</v>
      </c>
      <c r="G172">
        <v>95862</v>
      </c>
      <c r="H172">
        <v>866284</v>
      </c>
      <c r="I172">
        <v>1508.6</v>
      </c>
      <c r="J172">
        <v>0</v>
      </c>
      <c r="K172">
        <v>1</v>
      </c>
      <c r="L172">
        <v>515</v>
      </c>
      <c r="M172">
        <v>1030</v>
      </c>
      <c r="N172">
        <v>55</v>
      </c>
      <c r="O172">
        <v>0</v>
      </c>
      <c r="P172">
        <v>55</v>
      </c>
      <c r="Q172">
        <f t="shared" si="12"/>
        <v>2023</v>
      </c>
      <c r="R172">
        <f t="shared" si="13"/>
        <v>9</v>
      </c>
      <c r="S172" s="4">
        <f t="shared" si="14"/>
        <v>45</v>
      </c>
      <c r="T172">
        <f t="shared" si="16"/>
        <v>7</v>
      </c>
      <c r="U172" s="4">
        <f t="shared" si="15"/>
        <v>315</v>
      </c>
      <c r="V172" s="4">
        <f t="shared" si="17"/>
        <v>363447</v>
      </c>
    </row>
    <row r="173" spans="1:22" x14ac:dyDescent="0.25">
      <c r="A173" s="1">
        <v>185</v>
      </c>
      <c r="B173" s="2">
        <v>45195</v>
      </c>
      <c r="C173">
        <v>0</v>
      </c>
      <c r="D173">
        <v>95922</v>
      </c>
      <c r="E173">
        <v>96320</v>
      </c>
      <c r="F173">
        <v>95710</v>
      </c>
      <c r="G173">
        <v>96189</v>
      </c>
      <c r="H173">
        <v>547203</v>
      </c>
      <c r="I173">
        <v>1444.41</v>
      </c>
      <c r="J173">
        <v>1</v>
      </c>
      <c r="K173">
        <v>0</v>
      </c>
      <c r="L173">
        <v>503</v>
      </c>
      <c r="M173">
        <v>1006</v>
      </c>
      <c r="N173">
        <v>0</v>
      </c>
      <c r="O173">
        <v>-343</v>
      </c>
      <c r="P173">
        <v>-343</v>
      </c>
      <c r="Q173">
        <f t="shared" si="12"/>
        <v>2023</v>
      </c>
      <c r="R173">
        <f t="shared" si="13"/>
        <v>9</v>
      </c>
      <c r="S173" s="4">
        <f t="shared" si="14"/>
        <v>-353</v>
      </c>
      <c r="T173">
        <f t="shared" si="16"/>
        <v>7</v>
      </c>
      <c r="U173" s="4">
        <f t="shared" si="15"/>
        <v>-2471</v>
      </c>
      <c r="V173" s="4">
        <f t="shared" si="17"/>
        <v>360976</v>
      </c>
    </row>
    <row r="174" spans="1:22" x14ac:dyDescent="0.25">
      <c r="A174" s="1">
        <v>186</v>
      </c>
      <c r="B174" s="2">
        <v>45196</v>
      </c>
      <c r="C174">
        <v>0</v>
      </c>
      <c r="D174">
        <v>96162</v>
      </c>
      <c r="E174">
        <v>96666</v>
      </c>
      <c r="F174">
        <v>95800</v>
      </c>
      <c r="G174">
        <v>96589</v>
      </c>
      <c r="H174">
        <v>762321</v>
      </c>
      <c r="I174">
        <v>1403.1</v>
      </c>
      <c r="J174">
        <v>1</v>
      </c>
      <c r="K174">
        <v>1</v>
      </c>
      <c r="L174">
        <v>481</v>
      </c>
      <c r="M174">
        <v>963</v>
      </c>
      <c r="N174">
        <v>454</v>
      </c>
      <c r="O174">
        <v>0</v>
      </c>
      <c r="P174">
        <v>454</v>
      </c>
      <c r="Q174">
        <f t="shared" si="12"/>
        <v>2023</v>
      </c>
      <c r="R174">
        <f t="shared" si="13"/>
        <v>9</v>
      </c>
      <c r="S174" s="4">
        <f t="shared" si="14"/>
        <v>444</v>
      </c>
      <c r="T174">
        <f t="shared" si="16"/>
        <v>7</v>
      </c>
      <c r="U174" s="4">
        <f t="shared" si="15"/>
        <v>3108</v>
      </c>
      <c r="V174" s="4">
        <f t="shared" si="17"/>
        <v>364084</v>
      </c>
    </row>
    <row r="175" spans="1:22" x14ac:dyDescent="0.25">
      <c r="A175" s="1">
        <v>187</v>
      </c>
      <c r="B175" s="2">
        <v>45197</v>
      </c>
      <c r="C175">
        <v>0</v>
      </c>
      <c r="D175">
        <v>96586</v>
      </c>
      <c r="E175">
        <v>97336</v>
      </c>
      <c r="F175">
        <v>96282</v>
      </c>
      <c r="G175">
        <v>97031</v>
      </c>
      <c r="H175">
        <v>774698</v>
      </c>
      <c r="I175">
        <v>1378.16</v>
      </c>
      <c r="J175">
        <v>1</v>
      </c>
      <c r="K175">
        <v>1</v>
      </c>
      <c r="L175">
        <v>468</v>
      </c>
      <c r="M175">
        <v>935</v>
      </c>
      <c r="N175">
        <v>531</v>
      </c>
      <c r="O175">
        <v>0</v>
      </c>
      <c r="P175">
        <v>531</v>
      </c>
      <c r="Q175">
        <f t="shared" si="12"/>
        <v>2023</v>
      </c>
      <c r="R175">
        <f t="shared" si="13"/>
        <v>9</v>
      </c>
      <c r="S175" s="4">
        <f t="shared" si="14"/>
        <v>521</v>
      </c>
      <c r="T175">
        <f t="shared" si="16"/>
        <v>7</v>
      </c>
      <c r="U175" s="4">
        <f t="shared" si="15"/>
        <v>3647</v>
      </c>
      <c r="V175" s="4">
        <f t="shared" si="17"/>
        <v>367731</v>
      </c>
    </row>
    <row r="176" spans="1:22" x14ac:dyDescent="0.25">
      <c r="A176" s="1">
        <v>188</v>
      </c>
      <c r="B176" s="2">
        <v>45198</v>
      </c>
      <c r="C176">
        <v>0</v>
      </c>
      <c r="D176">
        <v>97064</v>
      </c>
      <c r="E176">
        <v>98470</v>
      </c>
      <c r="F176">
        <v>97003</v>
      </c>
      <c r="G176">
        <v>98460</v>
      </c>
      <c r="H176">
        <v>875680</v>
      </c>
      <c r="I176">
        <v>1384.51</v>
      </c>
      <c r="J176">
        <v>1</v>
      </c>
      <c r="K176">
        <v>1</v>
      </c>
      <c r="L176">
        <v>459</v>
      </c>
      <c r="M176">
        <v>919</v>
      </c>
      <c r="N176">
        <v>919</v>
      </c>
      <c r="O176">
        <v>0</v>
      </c>
      <c r="P176">
        <v>919</v>
      </c>
      <c r="Q176">
        <f t="shared" si="12"/>
        <v>2023</v>
      </c>
      <c r="R176">
        <f t="shared" si="13"/>
        <v>9</v>
      </c>
      <c r="S176" s="4">
        <f t="shared" si="14"/>
        <v>909</v>
      </c>
      <c r="T176">
        <f t="shared" si="16"/>
        <v>8</v>
      </c>
      <c r="U176" s="4">
        <f t="shared" si="15"/>
        <v>7272</v>
      </c>
      <c r="V176" s="4">
        <f t="shared" si="17"/>
        <v>375003</v>
      </c>
    </row>
    <row r="177" spans="1:22" x14ac:dyDescent="0.25">
      <c r="A177" s="1">
        <v>189</v>
      </c>
      <c r="B177" s="2">
        <v>45201</v>
      </c>
      <c r="C177">
        <v>0</v>
      </c>
      <c r="D177">
        <v>98469</v>
      </c>
      <c r="E177">
        <v>99900</v>
      </c>
      <c r="F177">
        <v>98000</v>
      </c>
      <c r="G177">
        <v>99882</v>
      </c>
      <c r="H177">
        <v>1106386</v>
      </c>
      <c r="I177">
        <v>1421.33</v>
      </c>
      <c r="J177">
        <v>1</v>
      </c>
      <c r="K177">
        <v>1</v>
      </c>
      <c r="L177">
        <v>462</v>
      </c>
      <c r="M177">
        <v>923</v>
      </c>
      <c r="N177">
        <v>923</v>
      </c>
      <c r="O177">
        <v>0</v>
      </c>
      <c r="P177">
        <v>923</v>
      </c>
      <c r="Q177">
        <f t="shared" si="12"/>
        <v>2023</v>
      </c>
      <c r="R177">
        <f t="shared" si="13"/>
        <v>10</v>
      </c>
      <c r="S177" s="4">
        <f t="shared" si="14"/>
        <v>913</v>
      </c>
      <c r="T177">
        <f t="shared" si="16"/>
        <v>8</v>
      </c>
      <c r="U177" s="4">
        <f t="shared" si="15"/>
        <v>7304</v>
      </c>
      <c r="V177" s="4">
        <f t="shared" si="17"/>
        <v>382307</v>
      </c>
    </row>
    <row r="178" spans="1:22" x14ac:dyDescent="0.25">
      <c r="A178" s="1">
        <v>190</v>
      </c>
      <c r="B178" s="2">
        <v>45202</v>
      </c>
      <c r="C178">
        <v>0</v>
      </c>
      <c r="D178">
        <v>99858</v>
      </c>
      <c r="E178">
        <v>99951</v>
      </c>
      <c r="F178">
        <v>98939</v>
      </c>
      <c r="G178">
        <v>99430</v>
      </c>
      <c r="H178">
        <v>964926</v>
      </c>
      <c r="I178">
        <v>1392.09</v>
      </c>
      <c r="J178">
        <v>0</v>
      </c>
      <c r="K178">
        <v>1</v>
      </c>
      <c r="L178">
        <v>474</v>
      </c>
      <c r="M178">
        <v>948</v>
      </c>
      <c r="N178">
        <v>-409</v>
      </c>
      <c r="O178">
        <v>0</v>
      </c>
      <c r="P178">
        <v>-409</v>
      </c>
      <c r="Q178">
        <f t="shared" si="12"/>
        <v>2023</v>
      </c>
      <c r="R178">
        <f t="shared" si="13"/>
        <v>10</v>
      </c>
      <c r="S178" s="4">
        <f t="shared" si="14"/>
        <v>-419</v>
      </c>
      <c r="T178">
        <f t="shared" si="16"/>
        <v>8</v>
      </c>
      <c r="U178" s="4">
        <f t="shared" si="15"/>
        <v>-3352</v>
      </c>
      <c r="V178" s="4">
        <f t="shared" si="17"/>
        <v>378955</v>
      </c>
    </row>
    <row r="179" spans="1:22" x14ac:dyDescent="0.25">
      <c r="A179" s="1">
        <v>191</v>
      </c>
      <c r="B179" s="2">
        <v>45203</v>
      </c>
      <c r="C179">
        <v>0</v>
      </c>
      <c r="D179">
        <v>99454</v>
      </c>
      <c r="E179">
        <v>100234</v>
      </c>
      <c r="F179">
        <v>99031</v>
      </c>
      <c r="G179">
        <v>99799</v>
      </c>
      <c r="H179">
        <v>936274</v>
      </c>
      <c r="I179">
        <v>1378.58</v>
      </c>
      <c r="J179">
        <v>1</v>
      </c>
      <c r="K179">
        <v>0</v>
      </c>
      <c r="L179">
        <v>464</v>
      </c>
      <c r="M179">
        <v>928</v>
      </c>
      <c r="N179">
        <v>0</v>
      </c>
      <c r="O179">
        <v>-373</v>
      </c>
      <c r="P179">
        <v>-373</v>
      </c>
      <c r="Q179">
        <f t="shared" si="12"/>
        <v>2023</v>
      </c>
      <c r="R179">
        <f t="shared" si="13"/>
        <v>10</v>
      </c>
      <c r="S179" s="4">
        <f t="shared" si="14"/>
        <v>-383</v>
      </c>
      <c r="T179">
        <f t="shared" si="16"/>
        <v>8</v>
      </c>
      <c r="U179" s="4">
        <f t="shared" si="15"/>
        <v>-3064</v>
      </c>
      <c r="V179" s="4">
        <f t="shared" si="17"/>
        <v>375891</v>
      </c>
    </row>
    <row r="180" spans="1:22" x14ac:dyDescent="0.25">
      <c r="A180" s="1">
        <v>192</v>
      </c>
      <c r="B180" s="2">
        <v>45204</v>
      </c>
      <c r="C180">
        <v>0</v>
      </c>
      <c r="D180">
        <v>99794</v>
      </c>
      <c r="E180">
        <v>101390</v>
      </c>
      <c r="F180">
        <v>99618</v>
      </c>
      <c r="G180">
        <v>101189</v>
      </c>
      <c r="H180">
        <v>1076606</v>
      </c>
      <c r="I180">
        <v>1406.68</v>
      </c>
      <c r="J180">
        <v>1</v>
      </c>
      <c r="K180">
        <v>1</v>
      </c>
      <c r="L180">
        <v>460</v>
      </c>
      <c r="M180">
        <v>919</v>
      </c>
      <c r="N180">
        <v>919</v>
      </c>
      <c r="O180">
        <v>0</v>
      </c>
      <c r="P180">
        <v>919</v>
      </c>
      <c r="Q180">
        <f t="shared" si="12"/>
        <v>2023</v>
      </c>
      <c r="R180">
        <f t="shared" si="13"/>
        <v>10</v>
      </c>
      <c r="S180" s="4">
        <f t="shared" si="14"/>
        <v>909</v>
      </c>
      <c r="T180">
        <f t="shared" si="16"/>
        <v>8</v>
      </c>
      <c r="U180" s="4">
        <f t="shared" si="15"/>
        <v>7272</v>
      </c>
      <c r="V180" s="4">
        <f t="shared" si="17"/>
        <v>383163</v>
      </c>
    </row>
    <row r="181" spans="1:22" x14ac:dyDescent="0.25">
      <c r="A181" s="1">
        <v>193</v>
      </c>
      <c r="B181" s="2">
        <v>45205</v>
      </c>
      <c r="C181">
        <v>0</v>
      </c>
      <c r="D181">
        <v>101229</v>
      </c>
      <c r="E181">
        <v>101854</v>
      </c>
      <c r="F181">
        <v>99807</v>
      </c>
      <c r="G181">
        <v>100449</v>
      </c>
      <c r="H181">
        <v>1713821</v>
      </c>
      <c r="I181">
        <v>1452.42</v>
      </c>
      <c r="J181">
        <v>0</v>
      </c>
      <c r="K181">
        <v>1</v>
      </c>
      <c r="L181">
        <v>469</v>
      </c>
      <c r="M181">
        <v>938</v>
      </c>
      <c r="N181">
        <v>469</v>
      </c>
      <c r="O181">
        <v>0</v>
      </c>
      <c r="P181">
        <v>469</v>
      </c>
      <c r="Q181">
        <f t="shared" si="12"/>
        <v>2023</v>
      </c>
      <c r="R181">
        <f t="shared" si="13"/>
        <v>10</v>
      </c>
      <c r="S181" s="4">
        <f t="shared" si="14"/>
        <v>459</v>
      </c>
      <c r="T181">
        <f t="shared" si="16"/>
        <v>8</v>
      </c>
      <c r="U181" s="4">
        <f t="shared" si="15"/>
        <v>3672</v>
      </c>
      <c r="V181" s="4">
        <f t="shared" si="17"/>
        <v>386835</v>
      </c>
    </row>
    <row r="182" spans="1:22" x14ac:dyDescent="0.25">
      <c r="A182" s="1">
        <v>194</v>
      </c>
      <c r="B182" s="2">
        <v>45208</v>
      </c>
      <c r="C182">
        <v>0</v>
      </c>
      <c r="D182">
        <v>100450</v>
      </c>
      <c r="E182">
        <v>102577</v>
      </c>
      <c r="F182">
        <v>98555</v>
      </c>
      <c r="G182">
        <v>98781</v>
      </c>
      <c r="H182">
        <v>2050548</v>
      </c>
      <c r="I182">
        <v>1635.96</v>
      </c>
      <c r="J182">
        <v>0</v>
      </c>
      <c r="K182">
        <v>0</v>
      </c>
      <c r="L182">
        <v>484</v>
      </c>
      <c r="M182">
        <v>968</v>
      </c>
      <c r="N182">
        <v>0</v>
      </c>
      <c r="O182">
        <v>968</v>
      </c>
      <c r="P182">
        <v>968</v>
      </c>
      <c r="Q182">
        <f t="shared" si="12"/>
        <v>2023</v>
      </c>
      <c r="R182">
        <f t="shared" si="13"/>
        <v>10</v>
      </c>
      <c r="S182" s="4">
        <f t="shared" si="14"/>
        <v>958</v>
      </c>
      <c r="T182">
        <f t="shared" si="16"/>
        <v>7</v>
      </c>
      <c r="U182" s="4">
        <f t="shared" si="15"/>
        <v>6706</v>
      </c>
      <c r="V182" s="4">
        <f t="shared" si="17"/>
        <v>393541</v>
      </c>
    </row>
    <row r="183" spans="1:22" x14ac:dyDescent="0.25">
      <c r="A183" s="1">
        <v>195</v>
      </c>
      <c r="B183" s="2">
        <v>45209</v>
      </c>
      <c r="C183">
        <v>0</v>
      </c>
      <c r="D183">
        <v>98828</v>
      </c>
      <c r="E183">
        <v>100687</v>
      </c>
      <c r="F183">
        <v>98828</v>
      </c>
      <c r="G183">
        <v>100588</v>
      </c>
      <c r="H183">
        <v>1476269</v>
      </c>
      <c r="I183">
        <v>1655.25</v>
      </c>
      <c r="J183">
        <v>1</v>
      </c>
      <c r="K183">
        <v>0</v>
      </c>
      <c r="L183">
        <v>545</v>
      </c>
      <c r="M183">
        <v>1091</v>
      </c>
      <c r="N183">
        <v>0</v>
      </c>
      <c r="O183">
        <v>545</v>
      </c>
      <c r="P183">
        <v>545</v>
      </c>
      <c r="Q183">
        <f t="shared" si="12"/>
        <v>2023</v>
      </c>
      <c r="R183">
        <f t="shared" si="13"/>
        <v>10</v>
      </c>
      <c r="S183" s="4">
        <f t="shared" si="14"/>
        <v>535</v>
      </c>
      <c r="T183">
        <f t="shared" si="16"/>
        <v>7</v>
      </c>
      <c r="U183" s="4">
        <f t="shared" si="15"/>
        <v>3745</v>
      </c>
      <c r="V183" s="4">
        <f t="shared" si="17"/>
        <v>397286</v>
      </c>
    </row>
    <row r="184" spans="1:22" x14ac:dyDescent="0.25">
      <c r="A184" s="1">
        <v>196</v>
      </c>
      <c r="B184" s="2">
        <v>45210</v>
      </c>
      <c r="C184">
        <v>0</v>
      </c>
      <c r="D184">
        <v>100526</v>
      </c>
      <c r="E184">
        <v>101031</v>
      </c>
      <c r="F184">
        <v>97030</v>
      </c>
      <c r="G184">
        <v>97398</v>
      </c>
      <c r="H184">
        <v>1621098</v>
      </c>
      <c r="I184">
        <v>1822.8</v>
      </c>
      <c r="J184">
        <v>0</v>
      </c>
      <c r="K184">
        <v>1</v>
      </c>
      <c r="L184">
        <v>552</v>
      </c>
      <c r="M184">
        <v>1104</v>
      </c>
      <c r="N184">
        <v>552</v>
      </c>
      <c r="O184">
        <v>0</v>
      </c>
      <c r="P184">
        <v>552</v>
      </c>
      <c r="Q184">
        <f t="shared" si="12"/>
        <v>2023</v>
      </c>
      <c r="R184">
        <f t="shared" si="13"/>
        <v>10</v>
      </c>
      <c r="S184" s="4">
        <f t="shared" si="14"/>
        <v>542</v>
      </c>
      <c r="T184">
        <f t="shared" si="16"/>
        <v>7</v>
      </c>
      <c r="U184" s="4">
        <f t="shared" si="15"/>
        <v>3794</v>
      </c>
      <c r="V184" s="4">
        <f t="shared" si="17"/>
        <v>401080</v>
      </c>
    </row>
    <row r="185" spans="1:22" x14ac:dyDescent="0.25">
      <c r="A185" s="1">
        <v>197</v>
      </c>
      <c r="B185" s="2">
        <v>45211</v>
      </c>
      <c r="C185">
        <v>0</v>
      </c>
      <c r="D185">
        <v>97399</v>
      </c>
      <c r="E185">
        <v>98517</v>
      </c>
      <c r="F185">
        <v>96850</v>
      </c>
      <c r="G185">
        <v>98153</v>
      </c>
      <c r="H185">
        <v>1698941</v>
      </c>
      <c r="I185">
        <v>1811.68</v>
      </c>
      <c r="J185">
        <v>1</v>
      </c>
      <c r="K185">
        <v>0</v>
      </c>
      <c r="L185">
        <v>608</v>
      </c>
      <c r="M185">
        <v>1215</v>
      </c>
      <c r="N185">
        <v>0</v>
      </c>
      <c r="O185">
        <v>-743</v>
      </c>
      <c r="P185">
        <v>-743</v>
      </c>
      <c r="Q185">
        <f t="shared" si="12"/>
        <v>2023</v>
      </c>
      <c r="R185">
        <f t="shared" si="13"/>
        <v>10</v>
      </c>
      <c r="S185" s="4">
        <f t="shared" si="14"/>
        <v>-753</v>
      </c>
      <c r="T185">
        <f t="shared" si="16"/>
        <v>6</v>
      </c>
      <c r="U185" s="4">
        <f t="shared" si="15"/>
        <v>-4518</v>
      </c>
      <c r="V185" s="4">
        <f t="shared" si="17"/>
        <v>396562</v>
      </c>
    </row>
    <row r="186" spans="1:22" x14ac:dyDescent="0.25">
      <c r="A186" s="1">
        <v>198</v>
      </c>
      <c r="B186" s="2">
        <v>45212</v>
      </c>
      <c r="C186">
        <v>0</v>
      </c>
      <c r="D186">
        <v>98188</v>
      </c>
      <c r="E186">
        <v>98650</v>
      </c>
      <c r="F186">
        <v>97372</v>
      </c>
      <c r="G186">
        <v>97830</v>
      </c>
      <c r="H186">
        <v>1154802</v>
      </c>
      <c r="I186">
        <v>1773.56</v>
      </c>
      <c r="J186">
        <v>0</v>
      </c>
      <c r="K186">
        <v>1</v>
      </c>
      <c r="L186">
        <v>604</v>
      </c>
      <c r="M186">
        <v>1208</v>
      </c>
      <c r="N186">
        <v>-491</v>
      </c>
      <c r="O186">
        <v>0</v>
      </c>
      <c r="P186">
        <v>-491</v>
      </c>
      <c r="Q186">
        <f t="shared" si="12"/>
        <v>2023</v>
      </c>
      <c r="R186">
        <f t="shared" si="13"/>
        <v>10</v>
      </c>
      <c r="S186" s="4">
        <f t="shared" si="14"/>
        <v>-501</v>
      </c>
      <c r="T186">
        <f t="shared" si="16"/>
        <v>6</v>
      </c>
      <c r="U186" s="4">
        <f t="shared" si="15"/>
        <v>-3006</v>
      </c>
      <c r="V186" s="4">
        <f t="shared" si="17"/>
        <v>393556</v>
      </c>
    </row>
    <row r="187" spans="1:22" x14ac:dyDescent="0.25">
      <c r="A187" s="1">
        <v>199</v>
      </c>
      <c r="B187" s="2">
        <v>45215</v>
      </c>
      <c r="C187">
        <v>0</v>
      </c>
      <c r="D187">
        <v>97830</v>
      </c>
      <c r="E187">
        <v>98156</v>
      </c>
      <c r="F187">
        <v>97428</v>
      </c>
      <c r="G187">
        <v>97825</v>
      </c>
      <c r="H187">
        <v>786904</v>
      </c>
      <c r="I187">
        <v>1698.87</v>
      </c>
      <c r="J187">
        <v>0</v>
      </c>
      <c r="K187">
        <v>0</v>
      </c>
      <c r="L187">
        <v>591</v>
      </c>
      <c r="M187">
        <v>1182</v>
      </c>
      <c r="N187">
        <v>0</v>
      </c>
      <c r="O187">
        <v>-103</v>
      </c>
      <c r="P187">
        <v>-103</v>
      </c>
      <c r="Q187">
        <f t="shared" si="12"/>
        <v>2023</v>
      </c>
      <c r="R187">
        <f t="shared" si="13"/>
        <v>10</v>
      </c>
      <c r="S187" s="4">
        <f t="shared" si="14"/>
        <v>-113</v>
      </c>
      <c r="T187">
        <f t="shared" si="16"/>
        <v>6</v>
      </c>
      <c r="U187" s="4">
        <f t="shared" si="15"/>
        <v>-678</v>
      </c>
      <c r="V187" s="4">
        <f t="shared" si="17"/>
        <v>392878</v>
      </c>
    </row>
    <row r="188" spans="1:22" x14ac:dyDescent="0.25">
      <c r="A188" s="1">
        <v>200</v>
      </c>
      <c r="B188" s="2">
        <v>45216</v>
      </c>
      <c r="C188">
        <v>0</v>
      </c>
      <c r="D188">
        <v>97895</v>
      </c>
      <c r="E188">
        <v>98798</v>
      </c>
      <c r="F188">
        <v>97653</v>
      </c>
      <c r="G188">
        <v>98736</v>
      </c>
      <c r="H188">
        <v>888759</v>
      </c>
      <c r="I188">
        <v>1659.31</v>
      </c>
      <c r="J188">
        <v>1</v>
      </c>
      <c r="K188">
        <v>0</v>
      </c>
      <c r="L188">
        <v>566</v>
      </c>
      <c r="M188">
        <v>1133</v>
      </c>
      <c r="N188">
        <v>0</v>
      </c>
      <c r="O188">
        <v>-826</v>
      </c>
      <c r="P188">
        <v>-826</v>
      </c>
      <c r="Q188">
        <f t="shared" si="12"/>
        <v>2023</v>
      </c>
      <c r="R188">
        <f t="shared" si="13"/>
        <v>10</v>
      </c>
      <c r="S188" s="4">
        <f t="shared" si="14"/>
        <v>-836</v>
      </c>
      <c r="T188">
        <f t="shared" si="16"/>
        <v>6</v>
      </c>
      <c r="U188" s="4">
        <f t="shared" si="15"/>
        <v>-5016</v>
      </c>
      <c r="V188" s="4">
        <f t="shared" si="17"/>
        <v>387862</v>
      </c>
    </row>
    <row r="189" spans="1:22" x14ac:dyDescent="0.25">
      <c r="A189" s="1">
        <v>201</v>
      </c>
      <c r="B189" s="2">
        <v>45217</v>
      </c>
      <c r="C189">
        <v>0</v>
      </c>
      <c r="D189">
        <v>98735</v>
      </c>
      <c r="E189">
        <v>98735</v>
      </c>
      <c r="F189">
        <v>98060</v>
      </c>
      <c r="G189">
        <v>98468</v>
      </c>
      <c r="H189">
        <v>911172</v>
      </c>
      <c r="I189">
        <v>1589.07</v>
      </c>
      <c r="J189">
        <v>0</v>
      </c>
      <c r="K189">
        <v>1</v>
      </c>
      <c r="L189">
        <v>553</v>
      </c>
      <c r="M189">
        <v>1106</v>
      </c>
      <c r="N189">
        <v>-247</v>
      </c>
      <c r="O189">
        <v>0</v>
      </c>
      <c r="P189">
        <v>-247</v>
      </c>
      <c r="Q189">
        <f t="shared" si="12"/>
        <v>2023</v>
      </c>
      <c r="R189">
        <f t="shared" si="13"/>
        <v>10</v>
      </c>
      <c r="S189" s="4">
        <f t="shared" si="14"/>
        <v>-257</v>
      </c>
      <c r="T189">
        <f t="shared" si="16"/>
        <v>7</v>
      </c>
      <c r="U189" s="4">
        <f t="shared" si="15"/>
        <v>-1799</v>
      </c>
      <c r="V189" s="4">
        <f t="shared" si="17"/>
        <v>386063</v>
      </c>
    </row>
    <row r="190" spans="1:22" x14ac:dyDescent="0.25">
      <c r="A190" s="1">
        <v>202</v>
      </c>
      <c r="B190" s="2">
        <v>45218</v>
      </c>
      <c r="C190">
        <v>0</v>
      </c>
      <c r="D190">
        <v>98496</v>
      </c>
      <c r="E190">
        <v>98685</v>
      </c>
      <c r="F190">
        <v>97656</v>
      </c>
      <c r="G190">
        <v>97709</v>
      </c>
      <c r="H190">
        <v>936776</v>
      </c>
      <c r="I190">
        <v>1549.07</v>
      </c>
      <c r="J190">
        <v>0</v>
      </c>
      <c r="K190">
        <v>0</v>
      </c>
      <c r="L190">
        <v>530</v>
      </c>
      <c r="M190">
        <v>1059</v>
      </c>
      <c r="N190">
        <v>0</v>
      </c>
      <c r="O190">
        <v>682</v>
      </c>
      <c r="P190">
        <v>682</v>
      </c>
      <c r="Q190">
        <f t="shared" si="12"/>
        <v>2023</v>
      </c>
      <c r="R190">
        <f t="shared" si="13"/>
        <v>10</v>
      </c>
      <c r="S190" s="4">
        <f t="shared" si="14"/>
        <v>672</v>
      </c>
      <c r="T190">
        <f t="shared" si="16"/>
        <v>7</v>
      </c>
      <c r="U190" s="4">
        <f t="shared" si="15"/>
        <v>4704</v>
      </c>
      <c r="V190" s="4">
        <f t="shared" si="17"/>
        <v>390767</v>
      </c>
    </row>
    <row r="191" spans="1:22" x14ac:dyDescent="0.25">
      <c r="A191" s="1">
        <v>203</v>
      </c>
      <c r="B191" s="2">
        <v>45219</v>
      </c>
      <c r="C191">
        <v>0</v>
      </c>
      <c r="D191">
        <v>97735</v>
      </c>
      <c r="E191">
        <v>97818</v>
      </c>
      <c r="F191">
        <v>96138</v>
      </c>
      <c r="G191">
        <v>96459</v>
      </c>
      <c r="H191">
        <v>1013086</v>
      </c>
      <c r="I191">
        <v>1558.42</v>
      </c>
      <c r="J191">
        <v>0</v>
      </c>
      <c r="K191">
        <v>0</v>
      </c>
      <c r="L191">
        <v>516</v>
      </c>
      <c r="M191">
        <v>1033</v>
      </c>
      <c r="N191">
        <v>0</v>
      </c>
      <c r="O191">
        <v>1033</v>
      </c>
      <c r="P191">
        <v>1033</v>
      </c>
      <c r="Q191">
        <f t="shared" si="12"/>
        <v>2023</v>
      </c>
      <c r="R191">
        <f t="shared" si="13"/>
        <v>10</v>
      </c>
      <c r="S191" s="4">
        <f t="shared" si="14"/>
        <v>1023</v>
      </c>
      <c r="T191">
        <f t="shared" si="16"/>
        <v>7</v>
      </c>
      <c r="U191" s="4">
        <f t="shared" si="15"/>
        <v>7161</v>
      </c>
      <c r="V191" s="4">
        <f t="shared" si="17"/>
        <v>397928</v>
      </c>
    </row>
    <row r="192" spans="1:22" x14ac:dyDescent="0.25">
      <c r="A192" s="1">
        <v>204</v>
      </c>
      <c r="B192" s="2">
        <v>45222</v>
      </c>
      <c r="C192">
        <v>0</v>
      </c>
      <c r="D192">
        <v>96460</v>
      </c>
      <c r="E192">
        <v>96780</v>
      </c>
      <c r="F192">
        <v>95192</v>
      </c>
      <c r="G192">
        <v>95354</v>
      </c>
      <c r="H192">
        <v>943978</v>
      </c>
      <c r="I192">
        <v>1560.53</v>
      </c>
      <c r="J192">
        <v>0</v>
      </c>
      <c r="K192">
        <v>0</v>
      </c>
      <c r="L192">
        <v>519</v>
      </c>
      <c r="M192">
        <v>1039</v>
      </c>
      <c r="N192">
        <v>0</v>
      </c>
      <c r="O192">
        <v>1039</v>
      </c>
      <c r="P192">
        <v>1039</v>
      </c>
      <c r="Q192">
        <f t="shared" si="12"/>
        <v>2023</v>
      </c>
      <c r="R192">
        <f t="shared" si="13"/>
        <v>10</v>
      </c>
      <c r="S192" s="4">
        <f t="shared" si="14"/>
        <v>1029</v>
      </c>
      <c r="T192">
        <f t="shared" si="16"/>
        <v>7</v>
      </c>
      <c r="U192" s="4">
        <f t="shared" si="15"/>
        <v>7203</v>
      </c>
      <c r="V192" s="4">
        <f t="shared" si="17"/>
        <v>405131</v>
      </c>
    </row>
    <row r="193" spans="1:22" x14ac:dyDescent="0.25">
      <c r="A193" s="1">
        <v>205</v>
      </c>
      <c r="B193" s="2">
        <v>45223</v>
      </c>
      <c r="C193">
        <v>0</v>
      </c>
      <c r="D193">
        <v>95298</v>
      </c>
      <c r="E193">
        <v>95298</v>
      </c>
      <c r="F193">
        <v>94162</v>
      </c>
      <c r="G193">
        <v>94259</v>
      </c>
      <c r="H193">
        <v>886596</v>
      </c>
      <c r="I193">
        <v>1534.21</v>
      </c>
      <c r="J193">
        <v>0</v>
      </c>
      <c r="K193">
        <v>0</v>
      </c>
      <c r="L193">
        <v>520</v>
      </c>
      <c r="M193">
        <v>1040</v>
      </c>
      <c r="N193">
        <v>0</v>
      </c>
      <c r="O193">
        <v>1040</v>
      </c>
      <c r="P193">
        <v>1040</v>
      </c>
      <c r="Q193">
        <f t="shared" si="12"/>
        <v>2023</v>
      </c>
      <c r="R193">
        <f t="shared" si="13"/>
        <v>10</v>
      </c>
      <c r="S193" s="4">
        <f t="shared" si="14"/>
        <v>1030</v>
      </c>
      <c r="T193">
        <f t="shared" si="16"/>
        <v>7</v>
      </c>
      <c r="U193" s="4">
        <f t="shared" si="15"/>
        <v>7210</v>
      </c>
      <c r="V193" s="4">
        <f t="shared" si="17"/>
        <v>412341</v>
      </c>
    </row>
    <row r="194" spans="1:22" x14ac:dyDescent="0.25">
      <c r="A194" s="1">
        <v>206</v>
      </c>
      <c r="B194" s="2">
        <v>45224</v>
      </c>
      <c r="C194">
        <v>0</v>
      </c>
      <c r="D194">
        <v>94240</v>
      </c>
      <c r="E194">
        <v>94649</v>
      </c>
      <c r="F194">
        <v>93901</v>
      </c>
      <c r="G194">
        <v>94449</v>
      </c>
      <c r="H194">
        <v>1177070</v>
      </c>
      <c r="I194">
        <v>1478.05</v>
      </c>
      <c r="J194">
        <v>1</v>
      </c>
      <c r="K194">
        <v>0</v>
      </c>
      <c r="L194">
        <v>511</v>
      </c>
      <c r="M194">
        <v>1023</v>
      </c>
      <c r="N194">
        <v>0</v>
      </c>
      <c r="O194">
        <v>-179</v>
      </c>
      <c r="P194">
        <v>-179</v>
      </c>
      <c r="Q194">
        <f t="shared" si="12"/>
        <v>2023</v>
      </c>
      <c r="R194">
        <f t="shared" si="13"/>
        <v>10</v>
      </c>
      <c r="S194" s="4">
        <f t="shared" si="14"/>
        <v>-189</v>
      </c>
      <c r="T194">
        <f t="shared" si="16"/>
        <v>8</v>
      </c>
      <c r="U194" s="4">
        <f t="shared" si="15"/>
        <v>-1512</v>
      </c>
      <c r="V194" s="4">
        <f t="shared" si="17"/>
        <v>410829</v>
      </c>
    </row>
    <row r="195" spans="1:22" x14ac:dyDescent="0.25">
      <c r="A195" s="1">
        <v>207</v>
      </c>
      <c r="B195" s="2">
        <v>45225</v>
      </c>
      <c r="C195">
        <v>0</v>
      </c>
      <c r="D195">
        <v>94456</v>
      </c>
      <c r="E195">
        <v>95290</v>
      </c>
      <c r="F195">
        <v>94456</v>
      </c>
      <c r="G195">
        <v>95161</v>
      </c>
      <c r="H195">
        <v>931209</v>
      </c>
      <c r="I195">
        <v>1432.55</v>
      </c>
      <c r="J195">
        <v>1</v>
      </c>
      <c r="K195">
        <v>1</v>
      </c>
      <c r="L195">
        <v>493</v>
      </c>
      <c r="M195">
        <v>985</v>
      </c>
      <c r="N195">
        <v>799</v>
      </c>
      <c r="O195">
        <v>0</v>
      </c>
      <c r="P195">
        <v>799</v>
      </c>
      <c r="Q195">
        <f t="shared" ref="Q195:Q258" si="18">YEAR(B195)</f>
        <v>2023</v>
      </c>
      <c r="R195">
        <f t="shared" ref="R195:R258" si="19">MONTH(B195)</f>
        <v>10</v>
      </c>
      <c r="S195" s="4">
        <f t="shared" ref="S195:S258" si="20">P195-10</f>
        <v>789</v>
      </c>
      <c r="T195">
        <f t="shared" si="16"/>
        <v>8</v>
      </c>
      <c r="U195" s="4">
        <f t="shared" ref="U195:U258" si="21">S195*T195</f>
        <v>6312</v>
      </c>
      <c r="V195" s="4">
        <f t="shared" si="17"/>
        <v>417141</v>
      </c>
    </row>
    <row r="196" spans="1:22" x14ac:dyDescent="0.25">
      <c r="A196" s="1">
        <v>208</v>
      </c>
      <c r="B196" s="2">
        <v>45226</v>
      </c>
      <c r="C196">
        <v>0</v>
      </c>
      <c r="D196">
        <v>95200</v>
      </c>
      <c r="E196">
        <v>95790</v>
      </c>
      <c r="F196">
        <v>93680</v>
      </c>
      <c r="G196">
        <v>95787</v>
      </c>
      <c r="H196">
        <v>2009609</v>
      </c>
      <c r="I196">
        <v>1480.94</v>
      </c>
      <c r="J196">
        <v>1</v>
      </c>
      <c r="K196">
        <v>1</v>
      </c>
      <c r="L196">
        <v>478</v>
      </c>
      <c r="M196">
        <v>955</v>
      </c>
      <c r="N196">
        <v>426</v>
      </c>
      <c r="O196">
        <v>0</v>
      </c>
      <c r="P196">
        <v>426</v>
      </c>
      <c r="Q196">
        <f t="shared" si="18"/>
        <v>2023</v>
      </c>
      <c r="R196">
        <f t="shared" si="19"/>
        <v>10</v>
      </c>
      <c r="S196" s="4">
        <f t="shared" si="20"/>
        <v>416</v>
      </c>
      <c r="T196">
        <f t="shared" ref="T196:T259" si="22">ROUNDDOWN(V195*$Y$2/L196,0)</f>
        <v>8</v>
      </c>
      <c r="U196" s="4">
        <f t="shared" si="21"/>
        <v>3328</v>
      </c>
      <c r="V196" s="4">
        <f t="shared" ref="V196:V259" si="23">V195+U196</f>
        <v>420469</v>
      </c>
    </row>
    <row r="197" spans="1:22" x14ac:dyDescent="0.25">
      <c r="A197" s="1">
        <v>209</v>
      </c>
      <c r="B197" s="2">
        <v>45229</v>
      </c>
      <c r="C197">
        <v>0</v>
      </c>
      <c r="D197">
        <v>95725</v>
      </c>
      <c r="E197">
        <v>95725</v>
      </c>
      <c r="F197">
        <v>94036</v>
      </c>
      <c r="G197">
        <v>94166</v>
      </c>
      <c r="H197">
        <v>1039411</v>
      </c>
      <c r="I197">
        <v>1500.23</v>
      </c>
      <c r="J197">
        <v>0</v>
      </c>
      <c r="K197">
        <v>1</v>
      </c>
      <c r="L197">
        <v>494</v>
      </c>
      <c r="M197">
        <v>987</v>
      </c>
      <c r="N197">
        <v>494</v>
      </c>
      <c r="O197">
        <v>0</v>
      </c>
      <c r="P197">
        <v>494</v>
      </c>
      <c r="Q197">
        <f t="shared" si="18"/>
        <v>2023</v>
      </c>
      <c r="R197">
        <f t="shared" si="19"/>
        <v>10</v>
      </c>
      <c r="S197" s="4">
        <f t="shared" si="20"/>
        <v>484</v>
      </c>
      <c r="T197">
        <f t="shared" si="22"/>
        <v>8</v>
      </c>
      <c r="U197" s="4">
        <f t="shared" si="21"/>
        <v>3872</v>
      </c>
      <c r="V197" s="4">
        <f t="shared" si="23"/>
        <v>424341</v>
      </c>
    </row>
    <row r="198" spans="1:22" x14ac:dyDescent="0.25">
      <c r="A198" s="1">
        <v>210</v>
      </c>
      <c r="B198" s="2">
        <v>45230</v>
      </c>
      <c r="C198">
        <v>0</v>
      </c>
      <c r="D198">
        <v>94200</v>
      </c>
      <c r="E198">
        <v>95370</v>
      </c>
      <c r="F198">
        <v>92968</v>
      </c>
      <c r="G198">
        <v>95198</v>
      </c>
      <c r="H198">
        <v>1886149</v>
      </c>
      <c r="I198">
        <v>1564.64</v>
      </c>
      <c r="J198">
        <v>1</v>
      </c>
      <c r="K198">
        <v>0</v>
      </c>
      <c r="L198">
        <v>500</v>
      </c>
      <c r="M198">
        <v>1000</v>
      </c>
      <c r="N198">
        <v>0</v>
      </c>
      <c r="O198">
        <v>500</v>
      </c>
      <c r="P198">
        <v>500</v>
      </c>
      <c r="Q198">
        <f t="shared" si="18"/>
        <v>2023</v>
      </c>
      <c r="R198">
        <f t="shared" si="19"/>
        <v>10</v>
      </c>
      <c r="S198" s="4">
        <f t="shared" si="20"/>
        <v>490</v>
      </c>
      <c r="T198">
        <f t="shared" si="22"/>
        <v>8</v>
      </c>
      <c r="U198" s="4">
        <f t="shared" si="21"/>
        <v>3920</v>
      </c>
      <c r="V198" s="4">
        <f t="shared" si="23"/>
        <v>428261</v>
      </c>
    </row>
    <row r="199" spans="1:22" x14ac:dyDescent="0.25">
      <c r="A199" s="1">
        <v>211</v>
      </c>
      <c r="B199" s="2">
        <v>45231</v>
      </c>
      <c r="C199">
        <v>0</v>
      </c>
      <c r="D199">
        <v>94999</v>
      </c>
      <c r="E199">
        <v>95441</v>
      </c>
      <c r="F199">
        <v>94000</v>
      </c>
      <c r="G199">
        <v>94299</v>
      </c>
      <c r="H199">
        <v>1241116</v>
      </c>
      <c r="I199">
        <v>1555.81</v>
      </c>
      <c r="J199">
        <v>0</v>
      </c>
      <c r="K199">
        <v>1</v>
      </c>
      <c r="L199">
        <v>522</v>
      </c>
      <c r="M199">
        <v>1043</v>
      </c>
      <c r="N199">
        <v>522</v>
      </c>
      <c r="O199">
        <v>0</v>
      </c>
      <c r="P199">
        <v>522</v>
      </c>
      <c r="Q199">
        <f t="shared" si="18"/>
        <v>2023</v>
      </c>
      <c r="R199">
        <f t="shared" si="19"/>
        <v>11</v>
      </c>
      <c r="S199" s="4">
        <f t="shared" si="20"/>
        <v>512</v>
      </c>
      <c r="T199">
        <f t="shared" si="22"/>
        <v>8</v>
      </c>
      <c r="U199" s="4">
        <f t="shared" si="21"/>
        <v>4096</v>
      </c>
      <c r="V199" s="4">
        <f t="shared" si="23"/>
        <v>432357</v>
      </c>
    </row>
    <row r="200" spans="1:22" x14ac:dyDescent="0.25">
      <c r="A200" s="1">
        <v>212</v>
      </c>
      <c r="B200" s="2">
        <v>45232</v>
      </c>
      <c r="C200">
        <v>0</v>
      </c>
      <c r="D200">
        <v>94401</v>
      </c>
      <c r="E200">
        <v>94950</v>
      </c>
      <c r="F200">
        <v>94303</v>
      </c>
      <c r="G200">
        <v>94626</v>
      </c>
      <c r="H200">
        <v>771742</v>
      </c>
      <c r="I200">
        <v>1491.18</v>
      </c>
      <c r="J200">
        <v>1</v>
      </c>
      <c r="K200">
        <v>0</v>
      </c>
      <c r="L200">
        <v>519</v>
      </c>
      <c r="M200">
        <v>1037</v>
      </c>
      <c r="N200">
        <v>0</v>
      </c>
      <c r="O200">
        <v>-292</v>
      </c>
      <c r="P200">
        <v>-292</v>
      </c>
      <c r="Q200">
        <f t="shared" si="18"/>
        <v>2023</v>
      </c>
      <c r="R200">
        <f t="shared" si="19"/>
        <v>11</v>
      </c>
      <c r="S200" s="4">
        <f t="shared" si="20"/>
        <v>-302</v>
      </c>
      <c r="T200">
        <f t="shared" si="22"/>
        <v>8</v>
      </c>
      <c r="U200" s="4">
        <f t="shared" si="21"/>
        <v>-2416</v>
      </c>
      <c r="V200" s="4">
        <f t="shared" si="23"/>
        <v>429941</v>
      </c>
    </row>
    <row r="201" spans="1:22" x14ac:dyDescent="0.25">
      <c r="A201" s="1">
        <v>213</v>
      </c>
      <c r="B201" s="2">
        <v>45233</v>
      </c>
      <c r="C201">
        <v>0</v>
      </c>
      <c r="D201">
        <v>94656</v>
      </c>
      <c r="E201">
        <v>94945</v>
      </c>
      <c r="F201">
        <v>93467</v>
      </c>
      <c r="G201">
        <v>93635</v>
      </c>
      <c r="H201">
        <v>1111821</v>
      </c>
      <c r="I201">
        <v>1490.24</v>
      </c>
      <c r="J201">
        <v>0</v>
      </c>
      <c r="K201">
        <v>1</v>
      </c>
      <c r="L201">
        <v>497</v>
      </c>
      <c r="M201">
        <v>994</v>
      </c>
      <c r="N201">
        <v>497</v>
      </c>
      <c r="O201">
        <v>0</v>
      </c>
      <c r="P201">
        <v>497</v>
      </c>
      <c r="Q201">
        <f t="shared" si="18"/>
        <v>2023</v>
      </c>
      <c r="R201">
        <f t="shared" si="19"/>
        <v>11</v>
      </c>
      <c r="S201" s="4">
        <f t="shared" si="20"/>
        <v>487</v>
      </c>
      <c r="T201">
        <f t="shared" si="22"/>
        <v>8</v>
      </c>
      <c r="U201" s="4">
        <f t="shared" si="21"/>
        <v>3896</v>
      </c>
      <c r="V201" s="4">
        <f t="shared" si="23"/>
        <v>433837</v>
      </c>
    </row>
    <row r="202" spans="1:22" x14ac:dyDescent="0.25">
      <c r="A202" s="1">
        <v>214</v>
      </c>
      <c r="B202" s="2">
        <v>45236</v>
      </c>
      <c r="C202">
        <v>0</v>
      </c>
      <c r="D202">
        <v>93615</v>
      </c>
      <c r="E202">
        <v>93865</v>
      </c>
      <c r="F202">
        <v>93162</v>
      </c>
      <c r="G202">
        <v>93502</v>
      </c>
      <c r="H202">
        <v>382645</v>
      </c>
      <c r="I202">
        <v>1434.01</v>
      </c>
      <c r="J202">
        <v>0</v>
      </c>
      <c r="K202">
        <v>0</v>
      </c>
      <c r="L202">
        <v>497</v>
      </c>
      <c r="M202">
        <v>993</v>
      </c>
      <c r="N202">
        <v>0</v>
      </c>
      <c r="O202">
        <v>-4</v>
      </c>
      <c r="P202">
        <v>-4</v>
      </c>
      <c r="Q202">
        <f t="shared" si="18"/>
        <v>2023</v>
      </c>
      <c r="R202">
        <f t="shared" si="19"/>
        <v>11</v>
      </c>
      <c r="S202" s="4">
        <f t="shared" si="20"/>
        <v>-14</v>
      </c>
      <c r="T202">
        <f t="shared" si="22"/>
        <v>8</v>
      </c>
      <c r="U202" s="4">
        <f t="shared" si="21"/>
        <v>-112</v>
      </c>
      <c r="V202" s="4">
        <f t="shared" si="23"/>
        <v>433725</v>
      </c>
    </row>
    <row r="203" spans="1:22" x14ac:dyDescent="0.25">
      <c r="A203" s="1">
        <v>215</v>
      </c>
      <c r="B203" s="2">
        <v>45237</v>
      </c>
      <c r="C203">
        <v>0</v>
      </c>
      <c r="D203">
        <v>93670</v>
      </c>
      <c r="E203">
        <v>94063</v>
      </c>
      <c r="F203">
        <v>93366</v>
      </c>
      <c r="G203">
        <v>93929</v>
      </c>
      <c r="H203">
        <v>827872</v>
      </c>
      <c r="I203">
        <v>1381.36</v>
      </c>
      <c r="J203">
        <v>1</v>
      </c>
      <c r="K203">
        <v>0</v>
      </c>
      <c r="L203">
        <v>478</v>
      </c>
      <c r="M203">
        <v>956</v>
      </c>
      <c r="N203">
        <v>0</v>
      </c>
      <c r="O203">
        <v>-235</v>
      </c>
      <c r="P203">
        <v>-235</v>
      </c>
      <c r="Q203">
        <f t="shared" si="18"/>
        <v>2023</v>
      </c>
      <c r="R203">
        <f t="shared" si="19"/>
        <v>11</v>
      </c>
      <c r="S203" s="4">
        <f t="shared" si="20"/>
        <v>-245</v>
      </c>
      <c r="T203">
        <f t="shared" si="22"/>
        <v>9</v>
      </c>
      <c r="U203" s="4">
        <f t="shared" si="21"/>
        <v>-2205</v>
      </c>
      <c r="V203" s="4">
        <f t="shared" si="23"/>
        <v>431520</v>
      </c>
    </row>
    <row r="204" spans="1:22" x14ac:dyDescent="0.25">
      <c r="A204" s="1">
        <v>216</v>
      </c>
      <c r="B204" s="2">
        <v>45238</v>
      </c>
      <c r="C204">
        <v>0</v>
      </c>
      <c r="D204">
        <v>93902</v>
      </c>
      <c r="E204">
        <v>93902</v>
      </c>
      <c r="F204">
        <v>92960</v>
      </c>
      <c r="G204">
        <v>93160</v>
      </c>
      <c r="H204">
        <v>796909</v>
      </c>
      <c r="I204">
        <v>1351.91</v>
      </c>
      <c r="J204">
        <v>0</v>
      </c>
      <c r="K204">
        <v>1</v>
      </c>
      <c r="L204">
        <v>460</v>
      </c>
      <c r="M204">
        <v>921</v>
      </c>
      <c r="N204">
        <v>460</v>
      </c>
      <c r="O204">
        <v>0</v>
      </c>
      <c r="P204">
        <v>460</v>
      </c>
      <c r="Q204">
        <f t="shared" si="18"/>
        <v>2023</v>
      </c>
      <c r="R204">
        <f t="shared" si="19"/>
        <v>11</v>
      </c>
      <c r="S204" s="4">
        <f t="shared" si="20"/>
        <v>450</v>
      </c>
      <c r="T204">
        <f t="shared" si="22"/>
        <v>9</v>
      </c>
      <c r="U204" s="4">
        <f t="shared" si="21"/>
        <v>4050</v>
      </c>
      <c r="V204" s="4">
        <f t="shared" si="23"/>
        <v>435570</v>
      </c>
    </row>
    <row r="205" spans="1:22" x14ac:dyDescent="0.25">
      <c r="A205" s="1">
        <v>217</v>
      </c>
      <c r="B205" s="2">
        <v>45239</v>
      </c>
      <c r="C205">
        <v>0</v>
      </c>
      <c r="D205">
        <v>93195</v>
      </c>
      <c r="E205">
        <v>93450</v>
      </c>
      <c r="F205">
        <v>92860</v>
      </c>
      <c r="G205">
        <v>93321</v>
      </c>
      <c r="H205">
        <v>686919</v>
      </c>
      <c r="I205">
        <v>1297.49</v>
      </c>
      <c r="J205">
        <v>1</v>
      </c>
      <c r="K205">
        <v>0</v>
      </c>
      <c r="L205">
        <v>451</v>
      </c>
      <c r="M205">
        <v>901</v>
      </c>
      <c r="N205">
        <v>0</v>
      </c>
      <c r="O205">
        <v>-205</v>
      </c>
      <c r="P205">
        <v>-205</v>
      </c>
      <c r="Q205">
        <f t="shared" si="18"/>
        <v>2023</v>
      </c>
      <c r="R205">
        <f t="shared" si="19"/>
        <v>11</v>
      </c>
      <c r="S205" s="4">
        <f t="shared" si="20"/>
        <v>-215</v>
      </c>
      <c r="T205">
        <f t="shared" si="22"/>
        <v>9</v>
      </c>
      <c r="U205" s="4">
        <f t="shared" si="21"/>
        <v>-1935</v>
      </c>
      <c r="V205" s="4">
        <f t="shared" si="23"/>
        <v>433635</v>
      </c>
    </row>
    <row r="206" spans="1:22" x14ac:dyDescent="0.25">
      <c r="A206" s="1">
        <v>218</v>
      </c>
      <c r="B206" s="2">
        <v>45240</v>
      </c>
      <c r="C206">
        <v>0</v>
      </c>
      <c r="D206">
        <v>93313</v>
      </c>
      <c r="E206">
        <v>93830</v>
      </c>
      <c r="F206">
        <v>93022</v>
      </c>
      <c r="G206">
        <v>93680</v>
      </c>
      <c r="H206">
        <v>634821</v>
      </c>
      <c r="I206">
        <v>1262.52</v>
      </c>
      <c r="J206">
        <v>1</v>
      </c>
      <c r="K206">
        <v>1</v>
      </c>
      <c r="L206">
        <v>432</v>
      </c>
      <c r="M206">
        <v>865</v>
      </c>
      <c r="N206">
        <v>391</v>
      </c>
      <c r="O206">
        <v>0</v>
      </c>
      <c r="P206">
        <v>391</v>
      </c>
      <c r="Q206">
        <f t="shared" si="18"/>
        <v>2023</v>
      </c>
      <c r="R206">
        <f t="shared" si="19"/>
        <v>11</v>
      </c>
      <c r="S206" s="4">
        <f t="shared" si="20"/>
        <v>381</v>
      </c>
      <c r="T206">
        <f t="shared" si="22"/>
        <v>10</v>
      </c>
      <c r="U206" s="4">
        <f t="shared" si="21"/>
        <v>3810</v>
      </c>
      <c r="V206" s="4">
        <f t="shared" si="23"/>
        <v>437445</v>
      </c>
    </row>
    <row r="207" spans="1:22" x14ac:dyDescent="0.25">
      <c r="A207" s="1">
        <v>219</v>
      </c>
      <c r="B207" s="2">
        <v>45243</v>
      </c>
      <c r="C207">
        <v>0</v>
      </c>
      <c r="D207">
        <v>93651</v>
      </c>
      <c r="E207">
        <v>93739</v>
      </c>
      <c r="F207">
        <v>92461</v>
      </c>
      <c r="G207">
        <v>92580</v>
      </c>
      <c r="H207">
        <v>828167</v>
      </c>
      <c r="I207">
        <v>1263.6300000000001</v>
      </c>
      <c r="J207">
        <v>0</v>
      </c>
      <c r="K207">
        <v>1</v>
      </c>
      <c r="L207">
        <v>421</v>
      </c>
      <c r="M207">
        <v>842</v>
      </c>
      <c r="N207">
        <v>421</v>
      </c>
      <c r="O207">
        <v>0</v>
      </c>
      <c r="P207">
        <v>421</v>
      </c>
      <c r="Q207">
        <f t="shared" si="18"/>
        <v>2023</v>
      </c>
      <c r="R207">
        <f t="shared" si="19"/>
        <v>11</v>
      </c>
      <c r="S207" s="4">
        <f t="shared" si="20"/>
        <v>411</v>
      </c>
      <c r="T207">
        <f t="shared" si="22"/>
        <v>10</v>
      </c>
      <c r="U207" s="4">
        <f t="shared" si="21"/>
        <v>4110</v>
      </c>
      <c r="V207" s="4">
        <f t="shared" si="23"/>
        <v>441555</v>
      </c>
    </row>
    <row r="208" spans="1:22" x14ac:dyDescent="0.25">
      <c r="A208" s="1">
        <v>220</v>
      </c>
      <c r="B208" s="2">
        <v>45244</v>
      </c>
      <c r="C208">
        <v>0</v>
      </c>
      <c r="D208">
        <v>92700</v>
      </c>
      <c r="E208">
        <v>92800</v>
      </c>
      <c r="F208">
        <v>91562</v>
      </c>
      <c r="G208">
        <v>91652</v>
      </c>
      <c r="H208">
        <v>831621</v>
      </c>
      <c r="I208">
        <v>1261.8</v>
      </c>
      <c r="J208">
        <v>0</v>
      </c>
      <c r="K208">
        <v>0</v>
      </c>
      <c r="L208">
        <v>421</v>
      </c>
      <c r="M208">
        <v>842</v>
      </c>
      <c r="N208">
        <v>0</v>
      </c>
      <c r="O208">
        <v>842</v>
      </c>
      <c r="P208">
        <v>842</v>
      </c>
      <c r="Q208">
        <f t="shared" si="18"/>
        <v>2023</v>
      </c>
      <c r="R208">
        <f t="shared" si="19"/>
        <v>11</v>
      </c>
      <c r="S208" s="4">
        <f t="shared" si="20"/>
        <v>832</v>
      </c>
      <c r="T208">
        <f t="shared" si="22"/>
        <v>10</v>
      </c>
      <c r="U208" s="4">
        <f t="shared" si="21"/>
        <v>8320</v>
      </c>
      <c r="V208" s="4">
        <f t="shared" si="23"/>
        <v>449875</v>
      </c>
    </row>
    <row r="209" spans="1:22" x14ac:dyDescent="0.25">
      <c r="A209" s="1">
        <v>221</v>
      </c>
      <c r="B209" s="2">
        <v>45245</v>
      </c>
      <c r="C209">
        <v>0</v>
      </c>
      <c r="D209">
        <v>91548</v>
      </c>
      <c r="E209">
        <v>91580</v>
      </c>
      <c r="F209">
        <v>89976</v>
      </c>
      <c r="G209">
        <v>90295</v>
      </c>
      <c r="H209">
        <v>1459129</v>
      </c>
      <c r="I209">
        <v>1291.3800000000001</v>
      </c>
      <c r="J209">
        <v>0</v>
      </c>
      <c r="K209">
        <v>0</v>
      </c>
      <c r="L209">
        <v>421</v>
      </c>
      <c r="M209">
        <v>841</v>
      </c>
      <c r="N209">
        <v>0</v>
      </c>
      <c r="O209">
        <v>841</v>
      </c>
      <c r="P209">
        <v>841</v>
      </c>
      <c r="Q209">
        <f t="shared" si="18"/>
        <v>2023</v>
      </c>
      <c r="R209">
        <f t="shared" si="19"/>
        <v>11</v>
      </c>
      <c r="S209" s="4">
        <f t="shared" si="20"/>
        <v>831</v>
      </c>
      <c r="T209">
        <f t="shared" si="22"/>
        <v>10</v>
      </c>
      <c r="U209" s="4">
        <f t="shared" si="21"/>
        <v>8310</v>
      </c>
      <c r="V209" s="4">
        <f t="shared" si="23"/>
        <v>458185</v>
      </c>
    </row>
    <row r="210" spans="1:22" x14ac:dyDescent="0.25">
      <c r="A210" s="1">
        <v>222</v>
      </c>
      <c r="B210" s="2">
        <v>45246</v>
      </c>
      <c r="C210">
        <v>0</v>
      </c>
      <c r="D210">
        <v>90251</v>
      </c>
      <c r="E210">
        <v>90547</v>
      </c>
      <c r="F210">
        <v>89630</v>
      </c>
      <c r="G210">
        <v>90317</v>
      </c>
      <c r="H210">
        <v>1009904</v>
      </c>
      <c r="I210">
        <v>1264.6400000000001</v>
      </c>
      <c r="J210">
        <v>1</v>
      </c>
      <c r="K210">
        <v>0</v>
      </c>
      <c r="L210">
        <v>430</v>
      </c>
      <c r="M210">
        <v>861</v>
      </c>
      <c r="N210">
        <v>0</v>
      </c>
      <c r="O210">
        <v>-231</v>
      </c>
      <c r="P210">
        <v>-231</v>
      </c>
      <c r="Q210">
        <f t="shared" si="18"/>
        <v>2023</v>
      </c>
      <c r="R210">
        <f t="shared" si="19"/>
        <v>11</v>
      </c>
      <c r="S210" s="4">
        <f t="shared" si="20"/>
        <v>-241</v>
      </c>
      <c r="T210">
        <f t="shared" si="22"/>
        <v>10</v>
      </c>
      <c r="U210" s="4">
        <f t="shared" si="21"/>
        <v>-2410</v>
      </c>
      <c r="V210" s="4">
        <f t="shared" si="23"/>
        <v>455775</v>
      </c>
    </row>
    <row r="211" spans="1:22" x14ac:dyDescent="0.25">
      <c r="A211" s="1">
        <v>223</v>
      </c>
      <c r="B211" s="2">
        <v>45247</v>
      </c>
      <c r="C211">
        <v>0</v>
      </c>
      <c r="D211">
        <v>90300</v>
      </c>
      <c r="E211">
        <v>91400</v>
      </c>
      <c r="F211">
        <v>89926</v>
      </c>
      <c r="G211">
        <v>90801</v>
      </c>
      <c r="H211">
        <v>1127435</v>
      </c>
      <c r="I211">
        <v>1279.5999999999999</v>
      </c>
      <c r="J211">
        <v>1</v>
      </c>
      <c r="K211">
        <v>1</v>
      </c>
      <c r="L211">
        <v>422</v>
      </c>
      <c r="M211">
        <v>843</v>
      </c>
      <c r="N211">
        <v>618</v>
      </c>
      <c r="O211">
        <v>0</v>
      </c>
      <c r="P211">
        <v>618</v>
      </c>
      <c r="Q211">
        <f t="shared" si="18"/>
        <v>2023</v>
      </c>
      <c r="R211">
        <f t="shared" si="19"/>
        <v>11</v>
      </c>
      <c r="S211" s="4">
        <f t="shared" si="20"/>
        <v>608</v>
      </c>
      <c r="T211">
        <f t="shared" si="22"/>
        <v>10</v>
      </c>
      <c r="U211" s="4">
        <f t="shared" si="21"/>
        <v>6080</v>
      </c>
      <c r="V211" s="4">
        <f t="shared" si="23"/>
        <v>461855</v>
      </c>
    </row>
    <row r="212" spans="1:22" x14ac:dyDescent="0.25">
      <c r="A212" s="1">
        <v>224</v>
      </c>
      <c r="B212" s="2">
        <v>45250</v>
      </c>
      <c r="C212">
        <v>0</v>
      </c>
      <c r="D212">
        <v>90686</v>
      </c>
      <c r="E212">
        <v>90686</v>
      </c>
      <c r="F212">
        <v>88553</v>
      </c>
      <c r="G212">
        <v>88660</v>
      </c>
      <c r="H212">
        <v>1450047</v>
      </c>
      <c r="I212">
        <v>1348.77</v>
      </c>
      <c r="J212">
        <v>0</v>
      </c>
      <c r="K212">
        <v>1</v>
      </c>
      <c r="L212">
        <v>427</v>
      </c>
      <c r="M212">
        <v>853</v>
      </c>
      <c r="N212">
        <v>427</v>
      </c>
      <c r="O212">
        <v>0</v>
      </c>
      <c r="P212">
        <v>427</v>
      </c>
      <c r="Q212">
        <f t="shared" si="18"/>
        <v>2023</v>
      </c>
      <c r="R212">
        <f t="shared" si="19"/>
        <v>11</v>
      </c>
      <c r="S212" s="4">
        <f t="shared" si="20"/>
        <v>417</v>
      </c>
      <c r="T212">
        <f t="shared" si="22"/>
        <v>10</v>
      </c>
      <c r="U212" s="4">
        <f t="shared" si="21"/>
        <v>4170</v>
      </c>
      <c r="V212" s="4">
        <f t="shared" si="23"/>
        <v>466025</v>
      </c>
    </row>
    <row r="213" spans="1:22" x14ac:dyDescent="0.25">
      <c r="A213" s="1">
        <v>225</v>
      </c>
      <c r="B213" s="2">
        <v>45251</v>
      </c>
      <c r="C213">
        <v>0</v>
      </c>
      <c r="D213">
        <v>88480</v>
      </c>
      <c r="E213">
        <v>88906</v>
      </c>
      <c r="F213">
        <v>88029</v>
      </c>
      <c r="G213">
        <v>88427</v>
      </c>
      <c r="H213">
        <v>877636</v>
      </c>
      <c r="I213">
        <v>1315.07</v>
      </c>
      <c r="J213">
        <v>0</v>
      </c>
      <c r="K213">
        <v>0</v>
      </c>
      <c r="L213">
        <v>450</v>
      </c>
      <c r="M213">
        <v>899</v>
      </c>
      <c r="N213">
        <v>0</v>
      </c>
      <c r="O213">
        <v>-45</v>
      </c>
      <c r="P213">
        <v>-45</v>
      </c>
      <c r="Q213">
        <f t="shared" si="18"/>
        <v>2023</v>
      </c>
      <c r="R213">
        <f t="shared" si="19"/>
        <v>11</v>
      </c>
      <c r="S213" s="4">
        <f t="shared" si="20"/>
        <v>-55</v>
      </c>
      <c r="T213">
        <f t="shared" si="22"/>
        <v>10</v>
      </c>
      <c r="U213" s="4">
        <f t="shared" si="21"/>
        <v>-550</v>
      </c>
      <c r="V213" s="4">
        <f t="shared" si="23"/>
        <v>465475</v>
      </c>
    </row>
    <row r="214" spans="1:22" x14ac:dyDescent="0.25">
      <c r="A214" s="1">
        <v>226</v>
      </c>
      <c r="B214" s="2">
        <v>45252</v>
      </c>
      <c r="C214">
        <v>0</v>
      </c>
      <c r="D214">
        <v>88637</v>
      </c>
      <c r="E214">
        <v>89492</v>
      </c>
      <c r="F214">
        <v>88501</v>
      </c>
      <c r="G214">
        <v>88720</v>
      </c>
      <c r="H214">
        <v>804678</v>
      </c>
      <c r="I214">
        <v>1297.21</v>
      </c>
      <c r="J214">
        <v>1</v>
      </c>
      <c r="K214">
        <v>0</v>
      </c>
      <c r="L214">
        <v>438</v>
      </c>
      <c r="M214">
        <v>877</v>
      </c>
      <c r="N214">
        <v>0</v>
      </c>
      <c r="O214">
        <v>-149</v>
      </c>
      <c r="P214">
        <v>-149</v>
      </c>
      <c r="Q214">
        <f t="shared" si="18"/>
        <v>2023</v>
      </c>
      <c r="R214">
        <f t="shared" si="19"/>
        <v>11</v>
      </c>
      <c r="S214" s="4">
        <f t="shared" si="20"/>
        <v>-159</v>
      </c>
      <c r="T214">
        <f t="shared" si="22"/>
        <v>10</v>
      </c>
      <c r="U214" s="4">
        <f t="shared" si="21"/>
        <v>-1590</v>
      </c>
      <c r="V214" s="4">
        <f t="shared" si="23"/>
        <v>463885</v>
      </c>
    </row>
    <row r="215" spans="1:22" x14ac:dyDescent="0.25">
      <c r="A215" s="1">
        <v>227</v>
      </c>
      <c r="B215" s="2">
        <v>45253</v>
      </c>
      <c r="C215">
        <v>0</v>
      </c>
      <c r="D215">
        <v>88730</v>
      </c>
      <c r="E215">
        <v>89428</v>
      </c>
      <c r="F215">
        <v>88560</v>
      </c>
      <c r="G215">
        <v>89096</v>
      </c>
      <c r="H215">
        <v>720532</v>
      </c>
      <c r="I215">
        <v>1266.55</v>
      </c>
      <c r="J215">
        <v>1</v>
      </c>
      <c r="K215">
        <v>1</v>
      </c>
      <c r="L215">
        <v>432</v>
      </c>
      <c r="M215">
        <v>865</v>
      </c>
      <c r="N215">
        <v>339</v>
      </c>
      <c r="O215">
        <v>0</v>
      </c>
      <c r="P215">
        <v>339</v>
      </c>
      <c r="Q215">
        <f t="shared" si="18"/>
        <v>2023</v>
      </c>
      <c r="R215">
        <f t="shared" si="19"/>
        <v>11</v>
      </c>
      <c r="S215" s="4">
        <f t="shared" si="20"/>
        <v>329</v>
      </c>
      <c r="T215">
        <f t="shared" si="22"/>
        <v>10</v>
      </c>
      <c r="U215" s="4">
        <f t="shared" si="21"/>
        <v>3290</v>
      </c>
      <c r="V215" s="4">
        <f t="shared" si="23"/>
        <v>467175</v>
      </c>
    </row>
    <row r="216" spans="1:22" x14ac:dyDescent="0.25">
      <c r="A216" s="1">
        <v>228</v>
      </c>
      <c r="B216" s="2">
        <v>45254</v>
      </c>
      <c r="C216">
        <v>0</v>
      </c>
      <c r="D216">
        <v>89278</v>
      </c>
      <c r="E216">
        <v>90080</v>
      </c>
      <c r="F216">
        <v>88971</v>
      </c>
      <c r="G216">
        <v>89415</v>
      </c>
      <c r="H216">
        <v>1490109</v>
      </c>
      <c r="I216">
        <v>1255.3</v>
      </c>
      <c r="J216">
        <v>1</v>
      </c>
      <c r="K216">
        <v>1</v>
      </c>
      <c r="L216">
        <v>422</v>
      </c>
      <c r="M216">
        <v>844</v>
      </c>
      <c r="N216">
        <v>157</v>
      </c>
      <c r="O216">
        <v>0</v>
      </c>
      <c r="P216">
        <v>157</v>
      </c>
      <c r="Q216">
        <f t="shared" si="18"/>
        <v>2023</v>
      </c>
      <c r="R216">
        <f t="shared" si="19"/>
        <v>11</v>
      </c>
      <c r="S216" s="4">
        <f t="shared" si="20"/>
        <v>147</v>
      </c>
      <c r="T216">
        <f t="shared" si="22"/>
        <v>11</v>
      </c>
      <c r="U216" s="4">
        <f t="shared" si="21"/>
        <v>1617</v>
      </c>
      <c r="V216" s="4">
        <f t="shared" si="23"/>
        <v>468792</v>
      </c>
    </row>
    <row r="217" spans="1:22" x14ac:dyDescent="0.25">
      <c r="A217" s="1">
        <v>229</v>
      </c>
      <c r="B217" s="2">
        <v>45257</v>
      </c>
      <c r="C217">
        <v>0</v>
      </c>
      <c r="D217">
        <v>89621</v>
      </c>
      <c r="E217">
        <v>89840</v>
      </c>
      <c r="F217">
        <v>89005</v>
      </c>
      <c r="G217">
        <v>89800</v>
      </c>
      <c r="H217">
        <v>769240</v>
      </c>
      <c r="I217">
        <v>1225.28</v>
      </c>
      <c r="J217">
        <v>1</v>
      </c>
      <c r="K217">
        <v>1</v>
      </c>
      <c r="L217">
        <v>418</v>
      </c>
      <c r="M217">
        <v>837</v>
      </c>
      <c r="N217">
        <v>125</v>
      </c>
      <c r="O217">
        <v>0</v>
      </c>
      <c r="P217">
        <v>125</v>
      </c>
      <c r="Q217">
        <f t="shared" si="18"/>
        <v>2023</v>
      </c>
      <c r="R217">
        <f t="shared" si="19"/>
        <v>11</v>
      </c>
      <c r="S217" s="4">
        <f t="shared" si="20"/>
        <v>115</v>
      </c>
      <c r="T217">
        <f t="shared" si="22"/>
        <v>11</v>
      </c>
      <c r="U217" s="4">
        <f t="shared" si="21"/>
        <v>1265</v>
      </c>
      <c r="V217" s="4">
        <f t="shared" si="23"/>
        <v>470057</v>
      </c>
    </row>
    <row r="218" spans="1:22" x14ac:dyDescent="0.25">
      <c r="A218" s="1">
        <v>230</v>
      </c>
      <c r="B218" s="2">
        <v>45258</v>
      </c>
      <c r="C218">
        <v>0</v>
      </c>
      <c r="D218">
        <v>89715</v>
      </c>
      <c r="E218">
        <v>90262</v>
      </c>
      <c r="F218">
        <v>89230</v>
      </c>
      <c r="G218">
        <v>90000</v>
      </c>
      <c r="H218">
        <v>999917</v>
      </c>
      <c r="I218">
        <v>1211.47</v>
      </c>
      <c r="J218">
        <v>1</v>
      </c>
      <c r="K218">
        <v>1</v>
      </c>
      <c r="L218">
        <v>408</v>
      </c>
      <c r="M218">
        <v>817</v>
      </c>
      <c r="N218">
        <v>357</v>
      </c>
      <c r="O218">
        <v>0</v>
      </c>
      <c r="P218">
        <v>357</v>
      </c>
      <c r="Q218">
        <f t="shared" si="18"/>
        <v>2023</v>
      </c>
      <c r="R218">
        <f t="shared" si="19"/>
        <v>11</v>
      </c>
      <c r="S218" s="4">
        <f t="shared" si="20"/>
        <v>347</v>
      </c>
      <c r="T218">
        <f t="shared" si="22"/>
        <v>11</v>
      </c>
      <c r="U218" s="4">
        <f t="shared" si="21"/>
        <v>3817</v>
      </c>
      <c r="V218" s="4">
        <f t="shared" si="23"/>
        <v>473874</v>
      </c>
    </row>
    <row r="219" spans="1:22" x14ac:dyDescent="0.25">
      <c r="A219" s="1">
        <v>231</v>
      </c>
      <c r="B219" s="2">
        <v>45259</v>
      </c>
      <c r="C219">
        <v>0</v>
      </c>
      <c r="D219">
        <v>89910</v>
      </c>
      <c r="E219">
        <v>89922</v>
      </c>
      <c r="F219">
        <v>89034</v>
      </c>
      <c r="G219">
        <v>89034</v>
      </c>
      <c r="H219">
        <v>1104099</v>
      </c>
      <c r="I219">
        <v>1193.94</v>
      </c>
      <c r="J219">
        <v>0</v>
      </c>
      <c r="K219">
        <v>1</v>
      </c>
      <c r="L219">
        <v>404</v>
      </c>
      <c r="M219">
        <v>808</v>
      </c>
      <c r="N219">
        <v>404</v>
      </c>
      <c r="O219">
        <v>0</v>
      </c>
      <c r="P219">
        <v>404</v>
      </c>
      <c r="Q219">
        <f t="shared" si="18"/>
        <v>2023</v>
      </c>
      <c r="R219">
        <f t="shared" si="19"/>
        <v>11</v>
      </c>
      <c r="S219" s="4">
        <f t="shared" si="20"/>
        <v>394</v>
      </c>
      <c r="T219">
        <f t="shared" si="22"/>
        <v>11</v>
      </c>
      <c r="U219" s="4">
        <f t="shared" si="21"/>
        <v>4334</v>
      </c>
      <c r="V219" s="4">
        <f t="shared" si="23"/>
        <v>478208</v>
      </c>
    </row>
    <row r="220" spans="1:22" x14ac:dyDescent="0.25">
      <c r="A220" s="1">
        <v>232</v>
      </c>
      <c r="B220" s="2">
        <v>45260</v>
      </c>
      <c r="C220">
        <v>0</v>
      </c>
      <c r="D220">
        <v>89109</v>
      </c>
      <c r="E220">
        <v>90305</v>
      </c>
      <c r="F220">
        <v>88899</v>
      </c>
      <c r="G220">
        <v>89990</v>
      </c>
      <c r="H220">
        <v>1019268</v>
      </c>
      <c r="I220">
        <v>1209.08</v>
      </c>
      <c r="J220">
        <v>1</v>
      </c>
      <c r="K220">
        <v>0</v>
      </c>
      <c r="L220">
        <v>398</v>
      </c>
      <c r="M220">
        <v>796</v>
      </c>
      <c r="N220">
        <v>0</v>
      </c>
      <c r="O220">
        <v>398</v>
      </c>
      <c r="P220">
        <v>398</v>
      </c>
      <c r="Q220">
        <f t="shared" si="18"/>
        <v>2023</v>
      </c>
      <c r="R220">
        <f t="shared" si="19"/>
        <v>11</v>
      </c>
      <c r="S220" s="4">
        <f t="shared" si="20"/>
        <v>388</v>
      </c>
      <c r="T220">
        <f t="shared" si="22"/>
        <v>12</v>
      </c>
      <c r="U220" s="4">
        <f t="shared" si="21"/>
        <v>4656</v>
      </c>
      <c r="V220" s="4">
        <f t="shared" si="23"/>
        <v>482864</v>
      </c>
    </row>
    <row r="221" spans="1:22" x14ac:dyDescent="0.25">
      <c r="A221" s="1">
        <v>233</v>
      </c>
      <c r="B221" s="2">
        <v>45261</v>
      </c>
      <c r="C221">
        <v>0</v>
      </c>
      <c r="D221">
        <v>89980</v>
      </c>
      <c r="E221">
        <v>91019</v>
      </c>
      <c r="F221">
        <v>89741</v>
      </c>
      <c r="G221">
        <v>90757</v>
      </c>
      <c r="H221">
        <v>858352</v>
      </c>
      <c r="I221">
        <v>1214.01</v>
      </c>
      <c r="J221">
        <v>1</v>
      </c>
      <c r="K221">
        <v>1</v>
      </c>
      <c r="L221">
        <v>403</v>
      </c>
      <c r="M221">
        <v>806</v>
      </c>
      <c r="N221">
        <v>860</v>
      </c>
      <c r="O221">
        <v>0</v>
      </c>
      <c r="P221">
        <v>860</v>
      </c>
      <c r="Q221">
        <f t="shared" si="18"/>
        <v>2023</v>
      </c>
      <c r="R221">
        <f t="shared" si="19"/>
        <v>12</v>
      </c>
      <c r="S221" s="4">
        <f t="shared" si="20"/>
        <v>850</v>
      </c>
      <c r="T221">
        <f t="shared" si="22"/>
        <v>11</v>
      </c>
      <c r="U221" s="4">
        <f t="shared" si="21"/>
        <v>9350</v>
      </c>
      <c r="V221" s="4">
        <f t="shared" si="23"/>
        <v>492214</v>
      </c>
    </row>
    <row r="222" spans="1:22" x14ac:dyDescent="0.25">
      <c r="A222" s="1">
        <v>234</v>
      </c>
      <c r="B222" s="2">
        <v>45264</v>
      </c>
      <c r="C222">
        <v>0</v>
      </c>
      <c r="D222">
        <v>90830</v>
      </c>
      <c r="E222">
        <v>91695</v>
      </c>
      <c r="F222">
        <v>90826</v>
      </c>
      <c r="G222">
        <v>91546</v>
      </c>
      <c r="H222">
        <v>821856</v>
      </c>
      <c r="I222">
        <v>1194.29</v>
      </c>
      <c r="J222">
        <v>1</v>
      </c>
      <c r="K222">
        <v>1</v>
      </c>
      <c r="L222">
        <v>405</v>
      </c>
      <c r="M222">
        <v>809</v>
      </c>
      <c r="N222">
        <v>647</v>
      </c>
      <c r="O222">
        <v>0</v>
      </c>
      <c r="P222">
        <v>647</v>
      </c>
      <c r="Q222">
        <f t="shared" si="18"/>
        <v>2023</v>
      </c>
      <c r="R222">
        <f t="shared" si="19"/>
        <v>12</v>
      </c>
      <c r="S222" s="4">
        <f t="shared" si="20"/>
        <v>637</v>
      </c>
      <c r="T222">
        <f t="shared" si="22"/>
        <v>12</v>
      </c>
      <c r="U222" s="4">
        <f t="shared" si="21"/>
        <v>7644</v>
      </c>
      <c r="V222" s="4">
        <f t="shared" si="23"/>
        <v>499858</v>
      </c>
    </row>
    <row r="223" spans="1:22" x14ac:dyDescent="0.25">
      <c r="A223" s="1">
        <v>235</v>
      </c>
      <c r="B223" s="2">
        <v>45265</v>
      </c>
      <c r="C223">
        <v>0</v>
      </c>
      <c r="D223">
        <v>91901</v>
      </c>
      <c r="E223">
        <v>93180</v>
      </c>
      <c r="F223">
        <v>91650</v>
      </c>
      <c r="G223">
        <v>93166</v>
      </c>
      <c r="H223">
        <v>1227226</v>
      </c>
      <c r="I223">
        <v>1225.7</v>
      </c>
      <c r="J223">
        <v>1</v>
      </c>
      <c r="K223">
        <v>1</v>
      </c>
      <c r="L223">
        <v>398</v>
      </c>
      <c r="M223">
        <v>796</v>
      </c>
      <c r="N223">
        <v>796</v>
      </c>
      <c r="O223">
        <v>0</v>
      </c>
      <c r="P223">
        <v>796</v>
      </c>
      <c r="Q223">
        <f t="shared" si="18"/>
        <v>2023</v>
      </c>
      <c r="R223">
        <f t="shared" si="19"/>
        <v>12</v>
      </c>
      <c r="S223" s="4">
        <f t="shared" si="20"/>
        <v>786</v>
      </c>
      <c r="T223">
        <f t="shared" si="22"/>
        <v>12</v>
      </c>
      <c r="U223" s="4">
        <f t="shared" si="21"/>
        <v>9432</v>
      </c>
      <c r="V223" s="4">
        <f t="shared" si="23"/>
        <v>509290</v>
      </c>
    </row>
    <row r="224" spans="1:22" x14ac:dyDescent="0.25">
      <c r="A224" s="1">
        <v>236</v>
      </c>
      <c r="B224" s="2">
        <v>45266</v>
      </c>
      <c r="C224">
        <v>0</v>
      </c>
      <c r="D224">
        <v>93197</v>
      </c>
      <c r="E224">
        <v>93870</v>
      </c>
      <c r="F224">
        <v>92200</v>
      </c>
      <c r="G224">
        <v>93350</v>
      </c>
      <c r="H224">
        <v>1425020</v>
      </c>
      <c r="I224">
        <v>1257.44</v>
      </c>
      <c r="J224">
        <v>1</v>
      </c>
      <c r="K224">
        <v>1</v>
      </c>
      <c r="L224">
        <v>409</v>
      </c>
      <c r="M224">
        <v>817</v>
      </c>
      <c r="N224">
        <v>188</v>
      </c>
      <c r="O224">
        <v>0</v>
      </c>
      <c r="P224">
        <v>188</v>
      </c>
      <c r="Q224">
        <f t="shared" si="18"/>
        <v>2023</v>
      </c>
      <c r="R224">
        <f t="shared" si="19"/>
        <v>12</v>
      </c>
      <c r="S224" s="4">
        <f t="shared" si="20"/>
        <v>178</v>
      </c>
      <c r="T224">
        <f t="shared" si="22"/>
        <v>12</v>
      </c>
      <c r="U224" s="4">
        <f t="shared" si="21"/>
        <v>2136</v>
      </c>
      <c r="V224" s="4">
        <f t="shared" si="23"/>
        <v>511426</v>
      </c>
    </row>
    <row r="225" spans="1:22" x14ac:dyDescent="0.25">
      <c r="A225" s="1">
        <v>237</v>
      </c>
      <c r="B225" s="2">
        <v>45267</v>
      </c>
      <c r="C225">
        <v>0</v>
      </c>
      <c r="D225">
        <v>93459</v>
      </c>
      <c r="E225">
        <v>93550</v>
      </c>
      <c r="F225">
        <v>91811</v>
      </c>
      <c r="G225">
        <v>92180</v>
      </c>
      <c r="H225">
        <v>1183914</v>
      </c>
      <c r="I225">
        <v>1291.83</v>
      </c>
      <c r="J225">
        <v>0</v>
      </c>
      <c r="K225">
        <v>1</v>
      </c>
      <c r="L225">
        <v>419</v>
      </c>
      <c r="M225">
        <v>838</v>
      </c>
      <c r="N225">
        <v>419</v>
      </c>
      <c r="O225">
        <v>0</v>
      </c>
      <c r="P225">
        <v>419</v>
      </c>
      <c r="Q225">
        <f t="shared" si="18"/>
        <v>2023</v>
      </c>
      <c r="R225">
        <f t="shared" si="19"/>
        <v>12</v>
      </c>
      <c r="S225" s="4">
        <f t="shared" si="20"/>
        <v>409</v>
      </c>
      <c r="T225">
        <f t="shared" si="22"/>
        <v>12</v>
      </c>
      <c r="U225" s="4">
        <f t="shared" si="21"/>
        <v>4908</v>
      </c>
      <c r="V225" s="4">
        <f t="shared" si="23"/>
        <v>516334</v>
      </c>
    </row>
    <row r="226" spans="1:22" x14ac:dyDescent="0.25">
      <c r="A226" s="1">
        <v>238</v>
      </c>
      <c r="B226" s="2">
        <v>45268</v>
      </c>
      <c r="C226">
        <v>0</v>
      </c>
      <c r="D226">
        <v>92208</v>
      </c>
      <c r="E226">
        <v>92348</v>
      </c>
      <c r="F226">
        <v>90899</v>
      </c>
      <c r="G226">
        <v>91900</v>
      </c>
      <c r="H226">
        <v>1579150</v>
      </c>
      <c r="I226">
        <v>1303.06</v>
      </c>
      <c r="J226">
        <v>0</v>
      </c>
      <c r="K226">
        <v>0</v>
      </c>
      <c r="L226">
        <v>431</v>
      </c>
      <c r="M226">
        <v>861</v>
      </c>
      <c r="N226">
        <v>0</v>
      </c>
      <c r="O226">
        <v>373</v>
      </c>
      <c r="P226">
        <v>373</v>
      </c>
      <c r="Q226">
        <f t="shared" si="18"/>
        <v>2023</v>
      </c>
      <c r="R226">
        <f t="shared" si="19"/>
        <v>12</v>
      </c>
      <c r="S226" s="4">
        <f t="shared" si="20"/>
        <v>363</v>
      </c>
      <c r="T226">
        <f t="shared" si="22"/>
        <v>11</v>
      </c>
      <c r="U226" s="4">
        <f t="shared" si="21"/>
        <v>3993</v>
      </c>
      <c r="V226" s="4">
        <f t="shared" si="23"/>
        <v>520327</v>
      </c>
    </row>
    <row r="227" spans="1:22" x14ac:dyDescent="0.25">
      <c r="A227" s="1">
        <v>239</v>
      </c>
      <c r="B227" s="2">
        <v>45271</v>
      </c>
      <c r="C227">
        <v>0</v>
      </c>
      <c r="D227">
        <v>91783</v>
      </c>
      <c r="E227">
        <v>91784</v>
      </c>
      <c r="F227">
        <v>90400</v>
      </c>
      <c r="G227">
        <v>90594</v>
      </c>
      <c r="H227">
        <v>1401949</v>
      </c>
      <c r="I227">
        <v>1317.13</v>
      </c>
      <c r="J227">
        <v>0</v>
      </c>
      <c r="K227">
        <v>0</v>
      </c>
      <c r="L227">
        <v>434</v>
      </c>
      <c r="M227">
        <v>869</v>
      </c>
      <c r="N227">
        <v>0</v>
      </c>
      <c r="O227">
        <v>869</v>
      </c>
      <c r="P227">
        <v>869</v>
      </c>
      <c r="Q227">
        <f t="shared" si="18"/>
        <v>2023</v>
      </c>
      <c r="R227">
        <f t="shared" si="19"/>
        <v>12</v>
      </c>
      <c r="S227" s="4">
        <f t="shared" si="20"/>
        <v>859</v>
      </c>
      <c r="T227">
        <f t="shared" si="22"/>
        <v>11</v>
      </c>
      <c r="U227" s="4">
        <f t="shared" si="21"/>
        <v>9449</v>
      </c>
      <c r="V227" s="4">
        <f t="shared" si="23"/>
        <v>529776</v>
      </c>
    </row>
    <row r="228" spans="1:22" x14ac:dyDescent="0.25">
      <c r="A228" s="1">
        <v>240</v>
      </c>
      <c r="B228" s="2">
        <v>45272</v>
      </c>
      <c r="C228">
        <v>0</v>
      </c>
      <c r="D228">
        <v>90600</v>
      </c>
      <c r="E228">
        <v>90633</v>
      </c>
      <c r="F228">
        <v>89804</v>
      </c>
      <c r="G228">
        <v>90009</v>
      </c>
      <c r="H228">
        <v>1052564</v>
      </c>
      <c r="I228">
        <v>1282.26</v>
      </c>
      <c r="J228">
        <v>0</v>
      </c>
      <c r="K228">
        <v>0</v>
      </c>
      <c r="L228">
        <v>439</v>
      </c>
      <c r="M228">
        <v>878</v>
      </c>
      <c r="N228">
        <v>0</v>
      </c>
      <c r="O228">
        <v>631</v>
      </c>
      <c r="P228">
        <v>631</v>
      </c>
      <c r="Q228">
        <f t="shared" si="18"/>
        <v>2023</v>
      </c>
      <c r="R228">
        <f t="shared" si="19"/>
        <v>12</v>
      </c>
      <c r="S228" s="4">
        <f t="shared" si="20"/>
        <v>621</v>
      </c>
      <c r="T228">
        <f t="shared" si="22"/>
        <v>12</v>
      </c>
      <c r="U228" s="4">
        <f t="shared" si="21"/>
        <v>7452</v>
      </c>
      <c r="V228" s="4">
        <f t="shared" si="23"/>
        <v>537228</v>
      </c>
    </row>
    <row r="229" spans="1:22" x14ac:dyDescent="0.25">
      <c r="A229" s="1">
        <v>241</v>
      </c>
      <c r="B229" s="2">
        <v>45273</v>
      </c>
      <c r="C229">
        <v>0</v>
      </c>
      <c r="D229">
        <v>89822</v>
      </c>
      <c r="E229">
        <v>90152</v>
      </c>
      <c r="F229">
        <v>89285</v>
      </c>
      <c r="G229">
        <v>89322</v>
      </c>
      <c r="H229">
        <v>1224789</v>
      </c>
      <c r="I229">
        <v>1252.5999999999999</v>
      </c>
      <c r="J229">
        <v>0</v>
      </c>
      <c r="K229">
        <v>0</v>
      </c>
      <c r="L229">
        <v>427</v>
      </c>
      <c r="M229">
        <v>855</v>
      </c>
      <c r="N229">
        <v>0</v>
      </c>
      <c r="O229">
        <v>274</v>
      </c>
      <c r="P229">
        <v>274</v>
      </c>
      <c r="Q229">
        <f t="shared" si="18"/>
        <v>2023</v>
      </c>
      <c r="R229">
        <f t="shared" si="19"/>
        <v>12</v>
      </c>
      <c r="S229" s="4">
        <f t="shared" si="20"/>
        <v>264</v>
      </c>
      <c r="T229">
        <f t="shared" si="22"/>
        <v>12</v>
      </c>
      <c r="U229" s="4">
        <f t="shared" si="21"/>
        <v>3168</v>
      </c>
      <c r="V229" s="4">
        <f t="shared" si="23"/>
        <v>540396</v>
      </c>
    </row>
    <row r="230" spans="1:22" x14ac:dyDescent="0.25">
      <c r="A230" s="1">
        <v>242</v>
      </c>
      <c r="B230" s="2">
        <v>45274</v>
      </c>
      <c r="C230">
        <v>0</v>
      </c>
      <c r="D230">
        <v>89300</v>
      </c>
      <c r="E230">
        <v>90499</v>
      </c>
      <c r="F230">
        <v>89123</v>
      </c>
      <c r="G230">
        <v>90360</v>
      </c>
      <c r="H230">
        <v>1261612</v>
      </c>
      <c r="I230">
        <v>1261.4100000000001</v>
      </c>
      <c r="J230">
        <v>1</v>
      </c>
      <c r="K230">
        <v>0</v>
      </c>
      <c r="L230">
        <v>418</v>
      </c>
      <c r="M230">
        <v>835</v>
      </c>
      <c r="N230">
        <v>0</v>
      </c>
      <c r="O230">
        <v>418</v>
      </c>
      <c r="P230">
        <v>418</v>
      </c>
      <c r="Q230">
        <f t="shared" si="18"/>
        <v>2023</v>
      </c>
      <c r="R230">
        <f t="shared" si="19"/>
        <v>12</v>
      </c>
      <c r="S230" s="4">
        <f t="shared" si="20"/>
        <v>408</v>
      </c>
      <c r="T230">
        <f t="shared" si="22"/>
        <v>12</v>
      </c>
      <c r="U230" s="4">
        <f t="shared" si="21"/>
        <v>4896</v>
      </c>
      <c r="V230" s="4">
        <f t="shared" si="23"/>
        <v>545292</v>
      </c>
    </row>
    <row r="231" spans="1:22" x14ac:dyDescent="0.25">
      <c r="A231" s="1">
        <v>243</v>
      </c>
      <c r="B231" s="2">
        <v>45275</v>
      </c>
      <c r="C231">
        <v>0</v>
      </c>
      <c r="D231">
        <v>90073</v>
      </c>
      <c r="E231">
        <v>90750</v>
      </c>
      <c r="F231">
        <v>89555</v>
      </c>
      <c r="G231">
        <v>90337</v>
      </c>
      <c r="H231">
        <v>1654221</v>
      </c>
      <c r="I231">
        <v>1256.67</v>
      </c>
      <c r="J231">
        <v>1</v>
      </c>
      <c r="K231">
        <v>1</v>
      </c>
      <c r="L231">
        <v>420</v>
      </c>
      <c r="M231">
        <v>841</v>
      </c>
      <c r="N231">
        <v>265</v>
      </c>
      <c r="O231">
        <v>0</v>
      </c>
      <c r="P231">
        <v>265</v>
      </c>
      <c r="Q231">
        <f t="shared" si="18"/>
        <v>2023</v>
      </c>
      <c r="R231">
        <f t="shared" si="19"/>
        <v>12</v>
      </c>
      <c r="S231" s="4">
        <f t="shared" si="20"/>
        <v>255</v>
      </c>
      <c r="T231">
        <f t="shared" si="22"/>
        <v>12</v>
      </c>
      <c r="U231" s="4">
        <f t="shared" si="21"/>
        <v>3060</v>
      </c>
      <c r="V231" s="4">
        <f t="shared" si="23"/>
        <v>548352</v>
      </c>
    </row>
    <row r="232" spans="1:22" x14ac:dyDescent="0.25">
      <c r="A232" s="1">
        <v>244</v>
      </c>
      <c r="B232" s="2">
        <v>45278</v>
      </c>
      <c r="C232">
        <v>0</v>
      </c>
      <c r="D232">
        <v>90365</v>
      </c>
      <c r="E232">
        <v>90849</v>
      </c>
      <c r="F232">
        <v>89670</v>
      </c>
      <c r="G232">
        <v>89789</v>
      </c>
      <c r="H232">
        <v>1066465</v>
      </c>
      <c r="I232">
        <v>1251.1199999999999</v>
      </c>
      <c r="J232">
        <v>0</v>
      </c>
      <c r="K232">
        <v>1</v>
      </c>
      <c r="L232">
        <v>419</v>
      </c>
      <c r="M232">
        <v>838</v>
      </c>
      <c r="N232">
        <v>419</v>
      </c>
      <c r="O232">
        <v>0</v>
      </c>
      <c r="P232">
        <v>419</v>
      </c>
      <c r="Q232">
        <f t="shared" si="18"/>
        <v>2023</v>
      </c>
      <c r="R232">
        <f t="shared" si="19"/>
        <v>12</v>
      </c>
      <c r="S232" s="4">
        <f t="shared" si="20"/>
        <v>409</v>
      </c>
      <c r="T232">
        <f t="shared" si="22"/>
        <v>13</v>
      </c>
      <c r="U232" s="4">
        <f t="shared" si="21"/>
        <v>5317</v>
      </c>
      <c r="V232" s="4">
        <f t="shared" si="23"/>
        <v>553669</v>
      </c>
    </row>
    <row r="233" spans="1:22" x14ac:dyDescent="0.25">
      <c r="A233" s="1">
        <v>245</v>
      </c>
      <c r="B233" s="2">
        <v>45279</v>
      </c>
      <c r="C233">
        <v>0</v>
      </c>
      <c r="D233">
        <v>89859</v>
      </c>
      <c r="E233">
        <v>90712</v>
      </c>
      <c r="F233">
        <v>89612</v>
      </c>
      <c r="G233">
        <v>90456</v>
      </c>
      <c r="H233">
        <v>766455</v>
      </c>
      <c r="I233">
        <v>1240.33</v>
      </c>
      <c r="J233">
        <v>1</v>
      </c>
      <c r="K233">
        <v>0</v>
      </c>
      <c r="L233">
        <v>417</v>
      </c>
      <c r="M233">
        <v>834</v>
      </c>
      <c r="N233">
        <v>0</v>
      </c>
      <c r="O233">
        <v>-693</v>
      </c>
      <c r="P233">
        <v>-693</v>
      </c>
      <c r="Q233">
        <f t="shared" si="18"/>
        <v>2023</v>
      </c>
      <c r="R233">
        <f t="shared" si="19"/>
        <v>12</v>
      </c>
      <c r="S233" s="4">
        <f t="shared" si="20"/>
        <v>-703</v>
      </c>
      <c r="T233">
        <f t="shared" si="22"/>
        <v>13</v>
      </c>
      <c r="U233" s="4">
        <f t="shared" si="21"/>
        <v>-9139</v>
      </c>
      <c r="V233" s="4">
        <f t="shared" si="23"/>
        <v>544530</v>
      </c>
    </row>
    <row r="234" spans="1:22" x14ac:dyDescent="0.25">
      <c r="A234" s="1">
        <v>246</v>
      </c>
      <c r="B234" s="2">
        <v>45280</v>
      </c>
      <c r="C234">
        <v>0</v>
      </c>
      <c r="D234">
        <v>91360</v>
      </c>
      <c r="E234">
        <v>92185</v>
      </c>
      <c r="F234">
        <v>91116</v>
      </c>
      <c r="G234">
        <v>92088</v>
      </c>
      <c r="H234">
        <v>684296</v>
      </c>
      <c r="I234">
        <v>1275.23</v>
      </c>
      <c r="J234">
        <v>1</v>
      </c>
      <c r="K234">
        <v>1</v>
      </c>
      <c r="L234">
        <v>413</v>
      </c>
      <c r="M234">
        <v>827</v>
      </c>
      <c r="N234">
        <v>671</v>
      </c>
      <c r="O234">
        <v>0</v>
      </c>
      <c r="P234">
        <v>671</v>
      </c>
      <c r="Q234">
        <f t="shared" si="18"/>
        <v>2023</v>
      </c>
      <c r="R234">
        <f t="shared" si="19"/>
        <v>12</v>
      </c>
      <c r="S234" s="4">
        <f t="shared" si="20"/>
        <v>661</v>
      </c>
      <c r="T234">
        <f t="shared" si="22"/>
        <v>13</v>
      </c>
      <c r="U234" s="4">
        <f t="shared" si="21"/>
        <v>8593</v>
      </c>
      <c r="V234" s="4">
        <f t="shared" si="23"/>
        <v>553123</v>
      </c>
    </row>
    <row r="235" spans="1:22" x14ac:dyDescent="0.25">
      <c r="A235" s="1">
        <v>247</v>
      </c>
      <c r="B235" s="2">
        <v>45281</v>
      </c>
      <c r="C235">
        <v>0</v>
      </c>
      <c r="D235">
        <v>91790</v>
      </c>
      <c r="E235">
        <v>93205</v>
      </c>
      <c r="F235">
        <v>91617</v>
      </c>
      <c r="G235">
        <v>92222</v>
      </c>
      <c r="H235">
        <v>1416935</v>
      </c>
      <c r="I235">
        <v>1297.57</v>
      </c>
      <c r="J235">
        <v>1</v>
      </c>
      <c r="K235">
        <v>1</v>
      </c>
      <c r="L235">
        <v>425</v>
      </c>
      <c r="M235">
        <v>850</v>
      </c>
      <c r="N235">
        <v>451</v>
      </c>
      <c r="O235">
        <v>0</v>
      </c>
      <c r="P235">
        <v>451</v>
      </c>
      <c r="Q235">
        <f t="shared" si="18"/>
        <v>2023</v>
      </c>
      <c r="R235">
        <f t="shared" si="19"/>
        <v>12</v>
      </c>
      <c r="S235" s="4">
        <f t="shared" si="20"/>
        <v>441</v>
      </c>
      <c r="T235">
        <f t="shared" si="22"/>
        <v>13</v>
      </c>
      <c r="U235" s="4">
        <f t="shared" si="21"/>
        <v>5733</v>
      </c>
      <c r="V235" s="4">
        <f t="shared" si="23"/>
        <v>558856</v>
      </c>
    </row>
    <row r="236" spans="1:22" x14ac:dyDescent="0.25">
      <c r="A236" s="1">
        <v>248</v>
      </c>
      <c r="B236" s="2">
        <v>45282</v>
      </c>
      <c r="C236">
        <v>0</v>
      </c>
      <c r="D236">
        <v>92196</v>
      </c>
      <c r="E236">
        <v>92744</v>
      </c>
      <c r="F236">
        <v>91456</v>
      </c>
      <c r="G236">
        <v>92061</v>
      </c>
      <c r="H236">
        <v>1014924</v>
      </c>
      <c r="I236">
        <v>1296.8900000000001</v>
      </c>
      <c r="J236">
        <v>0</v>
      </c>
      <c r="K236">
        <v>1</v>
      </c>
      <c r="L236">
        <v>433</v>
      </c>
      <c r="M236">
        <v>865</v>
      </c>
      <c r="N236">
        <v>-79</v>
      </c>
      <c r="O236">
        <v>0</v>
      </c>
      <c r="P236">
        <v>-79</v>
      </c>
      <c r="Q236">
        <f t="shared" si="18"/>
        <v>2023</v>
      </c>
      <c r="R236">
        <f t="shared" si="19"/>
        <v>12</v>
      </c>
      <c r="S236" s="4">
        <f t="shared" si="20"/>
        <v>-89</v>
      </c>
      <c r="T236">
        <f t="shared" si="22"/>
        <v>12</v>
      </c>
      <c r="U236" s="4">
        <f t="shared" si="21"/>
        <v>-1068</v>
      </c>
      <c r="V236" s="4">
        <f t="shared" si="23"/>
        <v>557788</v>
      </c>
    </row>
    <row r="237" spans="1:22" x14ac:dyDescent="0.25">
      <c r="A237" s="1">
        <v>249</v>
      </c>
      <c r="B237" s="2">
        <v>45285</v>
      </c>
      <c r="C237">
        <v>0</v>
      </c>
      <c r="D237">
        <v>91976</v>
      </c>
      <c r="E237">
        <v>92844</v>
      </c>
      <c r="F237">
        <v>91408</v>
      </c>
      <c r="G237">
        <v>91647</v>
      </c>
      <c r="H237">
        <v>984148</v>
      </c>
      <c r="I237">
        <v>1306.83</v>
      </c>
      <c r="J237">
        <v>0</v>
      </c>
      <c r="K237">
        <v>0</v>
      </c>
      <c r="L237">
        <v>432</v>
      </c>
      <c r="M237">
        <v>865</v>
      </c>
      <c r="N237">
        <v>0</v>
      </c>
      <c r="O237">
        <v>363</v>
      </c>
      <c r="P237">
        <v>363</v>
      </c>
      <c r="Q237">
        <f t="shared" si="18"/>
        <v>2023</v>
      </c>
      <c r="R237">
        <f t="shared" si="19"/>
        <v>12</v>
      </c>
      <c r="S237" s="4">
        <f t="shared" si="20"/>
        <v>353</v>
      </c>
      <c r="T237">
        <f t="shared" si="22"/>
        <v>12</v>
      </c>
      <c r="U237" s="4">
        <f t="shared" si="21"/>
        <v>4236</v>
      </c>
      <c r="V237" s="4">
        <f t="shared" si="23"/>
        <v>562024</v>
      </c>
    </row>
    <row r="238" spans="1:22" x14ac:dyDescent="0.25">
      <c r="A238" s="1">
        <v>250</v>
      </c>
      <c r="B238" s="2">
        <v>45286</v>
      </c>
      <c r="C238">
        <v>0</v>
      </c>
      <c r="D238">
        <v>91539</v>
      </c>
      <c r="E238">
        <v>92300</v>
      </c>
      <c r="F238">
        <v>91318</v>
      </c>
      <c r="G238">
        <v>92002</v>
      </c>
      <c r="H238">
        <v>830148</v>
      </c>
      <c r="I238">
        <v>1283.6199999999999</v>
      </c>
      <c r="J238">
        <v>1</v>
      </c>
      <c r="K238">
        <v>0</v>
      </c>
      <c r="L238">
        <v>436</v>
      </c>
      <c r="M238">
        <v>871</v>
      </c>
      <c r="N238">
        <v>0</v>
      </c>
      <c r="O238">
        <v>-481</v>
      </c>
      <c r="P238">
        <v>-481</v>
      </c>
      <c r="Q238">
        <f t="shared" si="18"/>
        <v>2023</v>
      </c>
      <c r="R238">
        <f t="shared" si="19"/>
        <v>12</v>
      </c>
      <c r="S238" s="4">
        <f t="shared" si="20"/>
        <v>-491</v>
      </c>
      <c r="T238">
        <f t="shared" si="22"/>
        <v>12</v>
      </c>
      <c r="U238" s="4">
        <f t="shared" si="21"/>
        <v>-5892</v>
      </c>
      <c r="V238" s="4">
        <f t="shared" si="23"/>
        <v>556132</v>
      </c>
    </row>
    <row r="239" spans="1:22" x14ac:dyDescent="0.25">
      <c r="A239" s="1">
        <v>251</v>
      </c>
      <c r="B239" s="2">
        <v>45287</v>
      </c>
      <c r="C239">
        <v>0</v>
      </c>
      <c r="D239">
        <v>92049</v>
      </c>
      <c r="E239">
        <v>92889</v>
      </c>
      <c r="F239">
        <v>91814</v>
      </c>
      <c r="G239">
        <v>92244</v>
      </c>
      <c r="H239">
        <v>896192</v>
      </c>
      <c r="I239">
        <v>1268.72</v>
      </c>
      <c r="J239">
        <v>1</v>
      </c>
      <c r="K239">
        <v>1</v>
      </c>
      <c r="L239">
        <v>428</v>
      </c>
      <c r="M239">
        <v>856</v>
      </c>
      <c r="N239">
        <v>175</v>
      </c>
      <c r="O239">
        <v>0</v>
      </c>
      <c r="P239">
        <v>175</v>
      </c>
      <c r="Q239">
        <f t="shared" si="18"/>
        <v>2023</v>
      </c>
      <c r="R239">
        <f t="shared" si="19"/>
        <v>12</v>
      </c>
      <c r="S239" s="4">
        <f t="shared" si="20"/>
        <v>165</v>
      </c>
      <c r="T239">
        <f t="shared" si="22"/>
        <v>12</v>
      </c>
      <c r="U239" s="4">
        <f t="shared" si="21"/>
        <v>1980</v>
      </c>
      <c r="V239" s="4">
        <f t="shared" si="23"/>
        <v>558112</v>
      </c>
    </row>
    <row r="240" spans="1:22" x14ac:dyDescent="0.25">
      <c r="A240" s="1">
        <v>252</v>
      </c>
      <c r="B240" s="2">
        <v>45288</v>
      </c>
      <c r="C240">
        <v>0</v>
      </c>
      <c r="D240">
        <v>92195</v>
      </c>
      <c r="E240">
        <v>92199</v>
      </c>
      <c r="F240">
        <v>90624</v>
      </c>
      <c r="G240">
        <v>91177</v>
      </c>
      <c r="H240">
        <v>1340215</v>
      </c>
      <c r="I240">
        <v>1293.81</v>
      </c>
      <c r="J240">
        <v>0</v>
      </c>
      <c r="K240">
        <v>1</v>
      </c>
      <c r="L240">
        <v>423</v>
      </c>
      <c r="M240">
        <v>846</v>
      </c>
      <c r="N240">
        <v>423</v>
      </c>
      <c r="O240">
        <v>0</v>
      </c>
      <c r="P240">
        <v>423</v>
      </c>
      <c r="Q240">
        <f t="shared" si="18"/>
        <v>2023</v>
      </c>
      <c r="R240">
        <f t="shared" si="19"/>
        <v>12</v>
      </c>
      <c r="S240" s="4">
        <f t="shared" si="20"/>
        <v>413</v>
      </c>
      <c r="T240">
        <f t="shared" si="22"/>
        <v>13</v>
      </c>
      <c r="U240" s="4">
        <f t="shared" si="21"/>
        <v>5369</v>
      </c>
      <c r="V240" s="4">
        <f t="shared" si="23"/>
        <v>563481</v>
      </c>
    </row>
    <row r="241" spans="1:22" x14ac:dyDescent="0.25">
      <c r="A241" s="1">
        <v>253</v>
      </c>
      <c r="B241" s="2">
        <v>45289</v>
      </c>
      <c r="C241">
        <v>0</v>
      </c>
      <c r="D241">
        <v>91464</v>
      </c>
      <c r="E241">
        <v>91994</v>
      </c>
      <c r="F241">
        <v>90527</v>
      </c>
      <c r="G241">
        <v>91850</v>
      </c>
      <c r="H241">
        <v>1008565</v>
      </c>
      <c r="I241">
        <v>1306.18</v>
      </c>
      <c r="J241">
        <v>1</v>
      </c>
      <c r="K241">
        <v>0</v>
      </c>
      <c r="L241">
        <v>431</v>
      </c>
      <c r="M241">
        <v>863</v>
      </c>
      <c r="N241">
        <v>0</v>
      </c>
      <c r="O241">
        <v>-402</v>
      </c>
      <c r="P241">
        <v>-402</v>
      </c>
      <c r="Q241">
        <f t="shared" si="18"/>
        <v>2023</v>
      </c>
      <c r="R241">
        <f t="shared" si="19"/>
        <v>12</v>
      </c>
      <c r="S241" s="4">
        <f t="shared" si="20"/>
        <v>-412</v>
      </c>
      <c r="T241">
        <f t="shared" si="22"/>
        <v>13</v>
      </c>
      <c r="U241" s="4">
        <f t="shared" si="21"/>
        <v>-5356</v>
      </c>
      <c r="V241" s="4">
        <f t="shared" si="23"/>
        <v>558125</v>
      </c>
    </row>
    <row r="242" spans="1:22" x14ac:dyDescent="0.25">
      <c r="A242" s="1">
        <v>254</v>
      </c>
      <c r="B242" s="2">
        <v>45294</v>
      </c>
      <c r="C242">
        <v>0</v>
      </c>
      <c r="D242">
        <v>92002</v>
      </c>
      <c r="E242">
        <v>93387</v>
      </c>
      <c r="F242">
        <v>92002</v>
      </c>
      <c r="G242">
        <v>93258</v>
      </c>
      <c r="H242">
        <v>436455</v>
      </c>
      <c r="I242">
        <v>1322.67</v>
      </c>
      <c r="J242">
        <v>1</v>
      </c>
      <c r="K242">
        <v>1</v>
      </c>
      <c r="L242">
        <v>435</v>
      </c>
      <c r="M242">
        <v>871</v>
      </c>
      <c r="N242">
        <v>871</v>
      </c>
      <c r="O242">
        <v>0</v>
      </c>
      <c r="P242">
        <v>871</v>
      </c>
      <c r="Q242">
        <f t="shared" si="18"/>
        <v>2024</v>
      </c>
      <c r="R242">
        <f t="shared" si="19"/>
        <v>1</v>
      </c>
      <c r="S242" s="4">
        <f t="shared" si="20"/>
        <v>861</v>
      </c>
      <c r="T242">
        <f t="shared" si="22"/>
        <v>12</v>
      </c>
      <c r="U242" s="4">
        <f t="shared" si="21"/>
        <v>10332</v>
      </c>
      <c r="V242" s="4">
        <f t="shared" si="23"/>
        <v>568457</v>
      </c>
    </row>
    <row r="243" spans="1:22" x14ac:dyDescent="0.25">
      <c r="A243" s="1">
        <v>255</v>
      </c>
      <c r="B243" s="2">
        <v>45295</v>
      </c>
      <c r="C243">
        <v>0</v>
      </c>
      <c r="D243">
        <v>93279</v>
      </c>
      <c r="E243">
        <v>93383</v>
      </c>
      <c r="F243">
        <v>92025</v>
      </c>
      <c r="G243">
        <v>92200</v>
      </c>
      <c r="H243">
        <v>508063</v>
      </c>
      <c r="I243">
        <v>1325.19</v>
      </c>
      <c r="J243">
        <v>0</v>
      </c>
      <c r="K243">
        <v>1</v>
      </c>
      <c r="L243">
        <v>441</v>
      </c>
      <c r="M243">
        <v>882</v>
      </c>
      <c r="N243">
        <v>441</v>
      </c>
      <c r="O243">
        <v>0</v>
      </c>
      <c r="P243">
        <v>441</v>
      </c>
      <c r="Q243">
        <f t="shared" si="18"/>
        <v>2024</v>
      </c>
      <c r="R243">
        <f t="shared" si="19"/>
        <v>1</v>
      </c>
      <c r="S243" s="4">
        <f t="shared" si="20"/>
        <v>431</v>
      </c>
      <c r="T243">
        <f t="shared" si="22"/>
        <v>12</v>
      </c>
      <c r="U243" s="4">
        <f t="shared" si="21"/>
        <v>5172</v>
      </c>
      <c r="V243" s="4">
        <f t="shared" si="23"/>
        <v>573629</v>
      </c>
    </row>
    <row r="244" spans="1:22" x14ac:dyDescent="0.25">
      <c r="A244" s="1">
        <v>256</v>
      </c>
      <c r="B244" s="2">
        <v>45296</v>
      </c>
      <c r="C244">
        <v>0</v>
      </c>
      <c r="D244">
        <v>92177</v>
      </c>
      <c r="E244">
        <v>92447</v>
      </c>
      <c r="F244">
        <v>91205</v>
      </c>
      <c r="G244">
        <v>91391</v>
      </c>
      <c r="H244">
        <v>489702</v>
      </c>
      <c r="I244">
        <v>1319.25</v>
      </c>
      <c r="J244">
        <v>0</v>
      </c>
      <c r="K244">
        <v>0</v>
      </c>
      <c r="L244">
        <v>442</v>
      </c>
      <c r="M244">
        <v>883</v>
      </c>
      <c r="N244">
        <v>0</v>
      </c>
      <c r="O244">
        <v>907</v>
      </c>
      <c r="P244">
        <v>907</v>
      </c>
      <c r="Q244">
        <f t="shared" si="18"/>
        <v>2024</v>
      </c>
      <c r="R244">
        <f t="shared" si="19"/>
        <v>1</v>
      </c>
      <c r="S244" s="4">
        <f t="shared" si="20"/>
        <v>897</v>
      </c>
      <c r="T244">
        <f t="shared" si="22"/>
        <v>12</v>
      </c>
      <c r="U244" s="4">
        <f t="shared" si="21"/>
        <v>10764</v>
      </c>
      <c r="V244" s="4">
        <f t="shared" si="23"/>
        <v>584393</v>
      </c>
    </row>
    <row r="245" spans="1:22" x14ac:dyDescent="0.25">
      <c r="A245" s="1">
        <v>257</v>
      </c>
      <c r="B245" s="2">
        <v>45299</v>
      </c>
      <c r="C245">
        <v>0</v>
      </c>
      <c r="D245">
        <v>91472</v>
      </c>
      <c r="E245">
        <v>92499</v>
      </c>
      <c r="F245">
        <v>90955</v>
      </c>
      <c r="G245">
        <v>92038</v>
      </c>
      <c r="H245">
        <v>726309</v>
      </c>
      <c r="I245">
        <v>1335.31</v>
      </c>
      <c r="J245">
        <v>1</v>
      </c>
      <c r="K245">
        <v>0</v>
      </c>
      <c r="L245">
        <v>440</v>
      </c>
      <c r="M245">
        <v>880</v>
      </c>
      <c r="N245">
        <v>0</v>
      </c>
      <c r="O245">
        <v>-553</v>
      </c>
      <c r="P245">
        <v>-553</v>
      </c>
      <c r="Q245">
        <f t="shared" si="18"/>
        <v>2024</v>
      </c>
      <c r="R245">
        <f t="shared" si="19"/>
        <v>1</v>
      </c>
      <c r="S245" s="4">
        <f t="shared" si="20"/>
        <v>-563</v>
      </c>
      <c r="T245">
        <f t="shared" si="22"/>
        <v>13</v>
      </c>
      <c r="U245" s="4">
        <f t="shared" si="21"/>
        <v>-7319</v>
      </c>
      <c r="V245" s="4">
        <f t="shared" si="23"/>
        <v>577074</v>
      </c>
    </row>
    <row r="246" spans="1:22" x14ac:dyDescent="0.25">
      <c r="A246" s="1">
        <v>258</v>
      </c>
      <c r="B246" s="2">
        <v>45300</v>
      </c>
      <c r="C246">
        <v>0</v>
      </c>
      <c r="D246">
        <v>92000</v>
      </c>
      <c r="E246">
        <v>92056</v>
      </c>
      <c r="F246">
        <v>90377</v>
      </c>
      <c r="G246">
        <v>91060</v>
      </c>
      <c r="H246">
        <v>943476</v>
      </c>
      <c r="I246">
        <v>1359.85</v>
      </c>
      <c r="J246">
        <v>0</v>
      </c>
      <c r="K246">
        <v>1</v>
      </c>
      <c r="L246">
        <v>445</v>
      </c>
      <c r="M246">
        <v>890</v>
      </c>
      <c r="N246">
        <v>445</v>
      </c>
      <c r="O246">
        <v>0</v>
      </c>
      <c r="P246">
        <v>445</v>
      </c>
      <c r="Q246">
        <f t="shared" si="18"/>
        <v>2024</v>
      </c>
      <c r="R246">
        <f t="shared" si="19"/>
        <v>1</v>
      </c>
      <c r="S246" s="4">
        <f t="shared" si="20"/>
        <v>435</v>
      </c>
      <c r="T246">
        <f t="shared" si="22"/>
        <v>12</v>
      </c>
      <c r="U246" s="4">
        <f t="shared" si="21"/>
        <v>5220</v>
      </c>
      <c r="V246" s="4">
        <f t="shared" si="23"/>
        <v>582294</v>
      </c>
    </row>
    <row r="247" spans="1:22" x14ac:dyDescent="0.25">
      <c r="A247" s="1">
        <v>259</v>
      </c>
      <c r="B247" s="2">
        <v>45301</v>
      </c>
      <c r="C247">
        <v>0</v>
      </c>
      <c r="D247">
        <v>91008</v>
      </c>
      <c r="E247">
        <v>91178</v>
      </c>
      <c r="F247">
        <v>90510</v>
      </c>
      <c r="G247">
        <v>90972</v>
      </c>
      <c r="H247">
        <v>734790</v>
      </c>
      <c r="I247">
        <v>1310.44</v>
      </c>
      <c r="J247">
        <v>0</v>
      </c>
      <c r="K247">
        <v>0</v>
      </c>
      <c r="L247">
        <v>453</v>
      </c>
      <c r="M247">
        <v>907</v>
      </c>
      <c r="N247">
        <v>0</v>
      </c>
      <c r="O247">
        <v>36</v>
      </c>
      <c r="P247">
        <v>36</v>
      </c>
      <c r="Q247">
        <f t="shared" si="18"/>
        <v>2024</v>
      </c>
      <c r="R247">
        <f t="shared" si="19"/>
        <v>1</v>
      </c>
      <c r="S247" s="4">
        <f t="shared" si="20"/>
        <v>26</v>
      </c>
      <c r="T247">
        <f t="shared" si="22"/>
        <v>12</v>
      </c>
      <c r="U247" s="4">
        <f t="shared" si="21"/>
        <v>312</v>
      </c>
      <c r="V247" s="4">
        <f t="shared" si="23"/>
        <v>582606</v>
      </c>
    </row>
    <row r="248" spans="1:22" x14ac:dyDescent="0.25">
      <c r="A248" s="1">
        <v>260</v>
      </c>
      <c r="B248" s="2">
        <v>45302</v>
      </c>
      <c r="C248">
        <v>0</v>
      </c>
      <c r="D248">
        <v>90985</v>
      </c>
      <c r="E248">
        <v>91050</v>
      </c>
      <c r="F248">
        <v>89810</v>
      </c>
      <c r="G248">
        <v>89869</v>
      </c>
      <c r="H248">
        <v>879918</v>
      </c>
      <c r="I248">
        <v>1305.4100000000001</v>
      </c>
      <c r="J248">
        <v>0</v>
      </c>
      <c r="K248">
        <v>0</v>
      </c>
      <c r="L248">
        <v>437</v>
      </c>
      <c r="M248">
        <v>874</v>
      </c>
      <c r="N248">
        <v>0</v>
      </c>
      <c r="O248">
        <v>874</v>
      </c>
      <c r="P248">
        <v>874</v>
      </c>
      <c r="Q248">
        <f t="shared" si="18"/>
        <v>2024</v>
      </c>
      <c r="R248">
        <f t="shared" si="19"/>
        <v>1</v>
      </c>
      <c r="S248" s="4">
        <f t="shared" si="20"/>
        <v>864</v>
      </c>
      <c r="T248">
        <f t="shared" si="22"/>
        <v>13</v>
      </c>
      <c r="U248" s="4">
        <f t="shared" si="21"/>
        <v>11232</v>
      </c>
      <c r="V248" s="4">
        <f t="shared" si="23"/>
        <v>593838</v>
      </c>
    </row>
    <row r="249" spans="1:22" x14ac:dyDescent="0.25">
      <c r="A249" s="1">
        <v>261</v>
      </c>
      <c r="B249" s="2">
        <v>45303</v>
      </c>
      <c r="C249">
        <v>0</v>
      </c>
      <c r="D249">
        <v>89809</v>
      </c>
      <c r="E249">
        <v>90115</v>
      </c>
      <c r="F249">
        <v>89321</v>
      </c>
      <c r="G249">
        <v>89897</v>
      </c>
      <c r="H249">
        <v>719083</v>
      </c>
      <c r="I249">
        <v>1268.8800000000001</v>
      </c>
      <c r="J249">
        <v>1</v>
      </c>
      <c r="K249">
        <v>0</v>
      </c>
      <c r="L249">
        <v>435</v>
      </c>
      <c r="M249">
        <v>870</v>
      </c>
      <c r="N249">
        <v>0</v>
      </c>
      <c r="O249">
        <v>-69</v>
      </c>
      <c r="P249">
        <v>-69</v>
      </c>
      <c r="Q249">
        <f t="shared" si="18"/>
        <v>2024</v>
      </c>
      <c r="R249">
        <f t="shared" si="19"/>
        <v>1</v>
      </c>
      <c r="S249" s="4">
        <f t="shared" si="20"/>
        <v>-79</v>
      </c>
      <c r="T249">
        <f t="shared" si="22"/>
        <v>13</v>
      </c>
      <c r="U249" s="4">
        <f t="shared" si="21"/>
        <v>-1027</v>
      </c>
      <c r="V249" s="4">
        <f t="shared" si="23"/>
        <v>592811</v>
      </c>
    </row>
    <row r="250" spans="1:22" x14ac:dyDescent="0.25">
      <c r="A250" s="1">
        <v>262</v>
      </c>
      <c r="B250" s="2">
        <v>45306</v>
      </c>
      <c r="C250">
        <v>0</v>
      </c>
      <c r="D250">
        <v>89670</v>
      </c>
      <c r="E250">
        <v>89743</v>
      </c>
      <c r="F250">
        <v>89000</v>
      </c>
      <c r="G250">
        <v>89171</v>
      </c>
      <c r="H250">
        <v>899834</v>
      </c>
      <c r="I250">
        <v>1242.31</v>
      </c>
      <c r="J250">
        <v>0</v>
      </c>
      <c r="K250">
        <v>1</v>
      </c>
      <c r="L250">
        <v>423</v>
      </c>
      <c r="M250">
        <v>846</v>
      </c>
      <c r="N250">
        <v>423</v>
      </c>
      <c r="O250">
        <v>0</v>
      </c>
      <c r="P250">
        <v>423</v>
      </c>
      <c r="Q250">
        <f t="shared" si="18"/>
        <v>2024</v>
      </c>
      <c r="R250">
        <f t="shared" si="19"/>
        <v>1</v>
      </c>
      <c r="S250" s="4">
        <f t="shared" si="20"/>
        <v>413</v>
      </c>
      <c r="T250">
        <f t="shared" si="22"/>
        <v>14</v>
      </c>
      <c r="U250" s="4">
        <f t="shared" si="21"/>
        <v>5782</v>
      </c>
      <c r="V250" s="4">
        <f t="shared" si="23"/>
        <v>598593</v>
      </c>
    </row>
    <row r="251" spans="1:22" x14ac:dyDescent="0.25">
      <c r="A251" s="1">
        <v>263</v>
      </c>
      <c r="B251" s="2">
        <v>45307</v>
      </c>
      <c r="C251">
        <v>0</v>
      </c>
      <c r="D251">
        <v>89218</v>
      </c>
      <c r="E251">
        <v>90107</v>
      </c>
      <c r="F251">
        <v>88945</v>
      </c>
      <c r="G251">
        <v>89415</v>
      </c>
      <c r="H251">
        <v>895609</v>
      </c>
      <c r="I251">
        <v>1236.58</v>
      </c>
      <c r="J251">
        <v>1</v>
      </c>
      <c r="K251">
        <v>0</v>
      </c>
      <c r="L251">
        <v>414</v>
      </c>
      <c r="M251">
        <v>828</v>
      </c>
      <c r="N251">
        <v>0</v>
      </c>
      <c r="O251">
        <v>-168</v>
      </c>
      <c r="P251">
        <v>-168</v>
      </c>
      <c r="Q251">
        <f t="shared" si="18"/>
        <v>2024</v>
      </c>
      <c r="R251">
        <f t="shared" si="19"/>
        <v>1</v>
      </c>
      <c r="S251" s="4">
        <f t="shared" si="20"/>
        <v>-178</v>
      </c>
      <c r="T251">
        <f t="shared" si="22"/>
        <v>14</v>
      </c>
      <c r="U251" s="4">
        <f t="shared" si="21"/>
        <v>-2492</v>
      </c>
      <c r="V251" s="4">
        <f t="shared" si="23"/>
        <v>596101</v>
      </c>
    </row>
    <row r="252" spans="1:22" x14ac:dyDescent="0.25">
      <c r="A252" s="1">
        <v>264</v>
      </c>
      <c r="B252" s="2">
        <v>45308</v>
      </c>
      <c r="C252">
        <v>0</v>
      </c>
      <c r="D252">
        <v>89509</v>
      </c>
      <c r="E252">
        <v>90542</v>
      </c>
      <c r="F252">
        <v>89381</v>
      </c>
      <c r="G252">
        <v>90255</v>
      </c>
      <c r="H252">
        <v>916160</v>
      </c>
      <c r="I252">
        <v>1231.18</v>
      </c>
      <c r="J252">
        <v>1</v>
      </c>
      <c r="K252">
        <v>1</v>
      </c>
      <c r="L252">
        <v>412</v>
      </c>
      <c r="M252">
        <v>824</v>
      </c>
      <c r="N252">
        <v>745</v>
      </c>
      <c r="O252">
        <v>0</v>
      </c>
      <c r="P252">
        <v>745</v>
      </c>
      <c r="Q252">
        <f t="shared" si="18"/>
        <v>2024</v>
      </c>
      <c r="R252">
        <f t="shared" si="19"/>
        <v>1</v>
      </c>
      <c r="S252" s="4">
        <f t="shared" si="20"/>
        <v>735</v>
      </c>
      <c r="T252">
        <f t="shared" si="22"/>
        <v>14</v>
      </c>
      <c r="U252" s="4">
        <f t="shared" si="21"/>
        <v>10290</v>
      </c>
      <c r="V252" s="4">
        <f t="shared" si="23"/>
        <v>606391</v>
      </c>
    </row>
    <row r="253" spans="1:22" x14ac:dyDescent="0.25">
      <c r="A253" s="1">
        <v>265</v>
      </c>
      <c r="B253" s="2">
        <v>45309</v>
      </c>
      <c r="C253">
        <v>0</v>
      </c>
      <c r="D253">
        <v>90507</v>
      </c>
      <c r="E253">
        <v>90720</v>
      </c>
      <c r="F253">
        <v>89923</v>
      </c>
      <c r="G253">
        <v>90489</v>
      </c>
      <c r="H253">
        <v>766002</v>
      </c>
      <c r="I253">
        <v>1200.17</v>
      </c>
      <c r="J253">
        <v>0</v>
      </c>
      <c r="K253">
        <v>1</v>
      </c>
      <c r="L253">
        <v>410</v>
      </c>
      <c r="M253">
        <v>821</v>
      </c>
      <c r="N253">
        <v>24</v>
      </c>
      <c r="O253">
        <v>0</v>
      </c>
      <c r="P253">
        <v>24</v>
      </c>
      <c r="Q253">
        <f t="shared" si="18"/>
        <v>2024</v>
      </c>
      <c r="R253">
        <f t="shared" si="19"/>
        <v>1</v>
      </c>
      <c r="S253" s="4">
        <f t="shared" si="20"/>
        <v>14</v>
      </c>
      <c r="T253">
        <f t="shared" si="22"/>
        <v>14</v>
      </c>
      <c r="U253" s="4">
        <f t="shared" si="21"/>
        <v>196</v>
      </c>
      <c r="V253" s="4">
        <f t="shared" si="23"/>
        <v>606587</v>
      </c>
    </row>
    <row r="254" spans="1:22" x14ac:dyDescent="0.25">
      <c r="A254" s="1">
        <v>266</v>
      </c>
      <c r="B254" s="2">
        <v>45310</v>
      </c>
      <c r="C254">
        <v>0</v>
      </c>
      <c r="D254">
        <v>90480</v>
      </c>
      <c r="E254">
        <v>90481</v>
      </c>
      <c r="F254">
        <v>89507</v>
      </c>
      <c r="G254">
        <v>89668</v>
      </c>
      <c r="H254">
        <v>719369</v>
      </c>
      <c r="I254">
        <v>1184.58</v>
      </c>
      <c r="J254">
        <v>0</v>
      </c>
      <c r="K254">
        <v>0</v>
      </c>
      <c r="L254">
        <v>400</v>
      </c>
      <c r="M254">
        <v>800</v>
      </c>
      <c r="N254">
        <v>0</v>
      </c>
      <c r="O254">
        <v>800</v>
      </c>
      <c r="P254">
        <v>800</v>
      </c>
      <c r="Q254">
        <f t="shared" si="18"/>
        <v>2024</v>
      </c>
      <c r="R254">
        <f t="shared" si="19"/>
        <v>1</v>
      </c>
      <c r="S254" s="4">
        <f t="shared" si="20"/>
        <v>790</v>
      </c>
      <c r="T254">
        <f t="shared" si="22"/>
        <v>15</v>
      </c>
      <c r="U254" s="4">
        <f t="shared" si="21"/>
        <v>11850</v>
      </c>
      <c r="V254" s="4">
        <f t="shared" si="23"/>
        <v>618437</v>
      </c>
    </row>
    <row r="255" spans="1:22" x14ac:dyDescent="0.25">
      <c r="A255" s="1">
        <v>267</v>
      </c>
      <c r="B255" s="2">
        <v>45313</v>
      </c>
      <c r="C255">
        <v>0</v>
      </c>
      <c r="D255">
        <v>89723</v>
      </c>
      <c r="E255">
        <v>89830</v>
      </c>
      <c r="F255">
        <v>89042</v>
      </c>
      <c r="G255">
        <v>89501</v>
      </c>
      <c r="H255">
        <v>656888</v>
      </c>
      <c r="I255">
        <v>1156.26</v>
      </c>
      <c r="J255">
        <v>0</v>
      </c>
      <c r="K255">
        <v>0</v>
      </c>
      <c r="L255">
        <v>395</v>
      </c>
      <c r="M255">
        <v>790</v>
      </c>
      <c r="N255">
        <v>0</v>
      </c>
      <c r="O255">
        <v>159</v>
      </c>
      <c r="P255">
        <v>159</v>
      </c>
      <c r="Q255">
        <f t="shared" si="18"/>
        <v>2024</v>
      </c>
      <c r="R255">
        <f t="shared" si="19"/>
        <v>1</v>
      </c>
      <c r="S255" s="4">
        <f t="shared" si="20"/>
        <v>149</v>
      </c>
      <c r="T255">
        <f t="shared" si="22"/>
        <v>15</v>
      </c>
      <c r="U255" s="4">
        <f t="shared" si="21"/>
        <v>2235</v>
      </c>
      <c r="V255" s="4">
        <f t="shared" si="23"/>
        <v>620672</v>
      </c>
    </row>
    <row r="256" spans="1:22" x14ac:dyDescent="0.25">
      <c r="A256" s="1">
        <v>268</v>
      </c>
      <c r="B256" s="2">
        <v>45314</v>
      </c>
      <c r="C256">
        <v>0</v>
      </c>
      <c r="D256">
        <v>89444</v>
      </c>
      <c r="E256">
        <v>90520</v>
      </c>
      <c r="F256">
        <v>88988</v>
      </c>
      <c r="G256">
        <v>90297</v>
      </c>
      <c r="H256">
        <v>815010</v>
      </c>
      <c r="I256">
        <v>1183.0899999999999</v>
      </c>
      <c r="J256">
        <v>1</v>
      </c>
      <c r="K256">
        <v>0</v>
      </c>
      <c r="L256">
        <v>385</v>
      </c>
      <c r="M256">
        <v>771</v>
      </c>
      <c r="N256">
        <v>0</v>
      </c>
      <c r="O256">
        <v>385</v>
      </c>
      <c r="P256">
        <v>385</v>
      </c>
      <c r="Q256">
        <f t="shared" si="18"/>
        <v>2024</v>
      </c>
      <c r="R256">
        <f t="shared" si="19"/>
        <v>1</v>
      </c>
      <c r="S256" s="4">
        <f t="shared" si="20"/>
        <v>375</v>
      </c>
      <c r="T256">
        <f t="shared" si="22"/>
        <v>16</v>
      </c>
      <c r="U256" s="4">
        <f t="shared" si="21"/>
        <v>6000</v>
      </c>
      <c r="V256" s="4">
        <f t="shared" si="23"/>
        <v>626672</v>
      </c>
    </row>
    <row r="257" spans="1:22" x14ac:dyDescent="0.25">
      <c r="A257" s="1">
        <v>269</v>
      </c>
      <c r="B257" s="2">
        <v>45315</v>
      </c>
      <c r="C257">
        <v>0</v>
      </c>
      <c r="D257">
        <v>90016</v>
      </c>
      <c r="E257">
        <v>90242</v>
      </c>
      <c r="F257">
        <v>89598</v>
      </c>
      <c r="G257">
        <v>89968</v>
      </c>
      <c r="H257">
        <v>745197</v>
      </c>
      <c r="I257">
        <v>1148.52</v>
      </c>
      <c r="J257">
        <v>0</v>
      </c>
      <c r="K257">
        <v>1</v>
      </c>
      <c r="L257">
        <v>394</v>
      </c>
      <c r="M257">
        <v>789</v>
      </c>
      <c r="N257">
        <v>51</v>
      </c>
      <c r="O257">
        <v>0</v>
      </c>
      <c r="P257">
        <v>51</v>
      </c>
      <c r="Q257">
        <f t="shared" si="18"/>
        <v>2024</v>
      </c>
      <c r="R257">
        <f t="shared" si="19"/>
        <v>1</v>
      </c>
      <c r="S257" s="4">
        <f t="shared" si="20"/>
        <v>41</v>
      </c>
      <c r="T257">
        <f t="shared" si="22"/>
        <v>15</v>
      </c>
      <c r="U257" s="4">
        <f t="shared" si="21"/>
        <v>615</v>
      </c>
      <c r="V257" s="4">
        <f t="shared" si="23"/>
        <v>627287</v>
      </c>
    </row>
    <row r="258" spans="1:22" x14ac:dyDescent="0.25">
      <c r="A258" s="1">
        <v>270</v>
      </c>
      <c r="B258" s="2">
        <v>45316</v>
      </c>
      <c r="C258">
        <v>0</v>
      </c>
      <c r="D258">
        <v>90018</v>
      </c>
      <c r="E258">
        <v>90983</v>
      </c>
      <c r="F258">
        <v>89942</v>
      </c>
      <c r="G258">
        <v>90505</v>
      </c>
      <c r="H258">
        <v>871678</v>
      </c>
      <c r="I258">
        <v>1140.8399999999999</v>
      </c>
      <c r="J258">
        <v>1</v>
      </c>
      <c r="K258">
        <v>0</v>
      </c>
      <c r="L258">
        <v>383</v>
      </c>
      <c r="M258">
        <v>766</v>
      </c>
      <c r="N258">
        <v>0</v>
      </c>
      <c r="O258">
        <v>-522</v>
      </c>
      <c r="P258">
        <v>-522</v>
      </c>
      <c r="Q258">
        <f t="shared" si="18"/>
        <v>2024</v>
      </c>
      <c r="R258">
        <f t="shared" si="19"/>
        <v>1</v>
      </c>
      <c r="S258" s="4">
        <f t="shared" si="20"/>
        <v>-532</v>
      </c>
      <c r="T258">
        <f t="shared" si="22"/>
        <v>16</v>
      </c>
      <c r="U258" s="4">
        <f t="shared" si="21"/>
        <v>-8512</v>
      </c>
      <c r="V258" s="4">
        <f t="shared" si="23"/>
        <v>618775</v>
      </c>
    </row>
    <row r="259" spans="1:22" x14ac:dyDescent="0.25">
      <c r="A259" s="1">
        <v>271</v>
      </c>
      <c r="B259" s="2">
        <v>45317</v>
      </c>
      <c r="C259">
        <v>0</v>
      </c>
      <c r="D259">
        <v>90678</v>
      </c>
      <c r="E259">
        <v>91640</v>
      </c>
      <c r="F259">
        <v>90505</v>
      </c>
      <c r="G259">
        <v>91560</v>
      </c>
      <c r="H259">
        <v>1085182</v>
      </c>
      <c r="I259">
        <v>1140.42</v>
      </c>
      <c r="J259">
        <v>1</v>
      </c>
      <c r="K259">
        <v>1</v>
      </c>
      <c r="L259">
        <v>380</v>
      </c>
      <c r="M259">
        <v>761</v>
      </c>
      <c r="N259">
        <v>761</v>
      </c>
      <c r="O259">
        <v>0</v>
      </c>
      <c r="P259">
        <v>761</v>
      </c>
      <c r="Q259">
        <f t="shared" ref="Q259:Q322" si="24">YEAR(B259)</f>
        <v>2024</v>
      </c>
      <c r="R259">
        <f t="shared" ref="R259:R322" si="25">MONTH(B259)</f>
        <v>1</v>
      </c>
      <c r="S259" s="4">
        <f t="shared" ref="S259:S322" si="26">P259-10</f>
        <v>751</v>
      </c>
      <c r="T259">
        <f t="shared" si="22"/>
        <v>16</v>
      </c>
      <c r="U259" s="4">
        <f t="shared" ref="U259:U322" si="27">S259*T259</f>
        <v>12016</v>
      </c>
      <c r="V259" s="4">
        <f t="shared" si="23"/>
        <v>630791</v>
      </c>
    </row>
    <row r="260" spans="1:22" x14ac:dyDescent="0.25">
      <c r="A260" s="1">
        <v>272</v>
      </c>
      <c r="B260" s="2">
        <v>45320</v>
      </c>
      <c r="C260">
        <v>0</v>
      </c>
      <c r="D260">
        <v>91774</v>
      </c>
      <c r="E260">
        <v>91800</v>
      </c>
      <c r="F260">
        <v>90200</v>
      </c>
      <c r="G260">
        <v>90260</v>
      </c>
      <c r="H260">
        <v>898523</v>
      </c>
      <c r="I260">
        <v>1173.25</v>
      </c>
      <c r="J260">
        <v>0</v>
      </c>
      <c r="K260">
        <v>1</v>
      </c>
      <c r="L260">
        <v>380</v>
      </c>
      <c r="M260">
        <v>760</v>
      </c>
      <c r="N260">
        <v>380</v>
      </c>
      <c r="O260">
        <v>0</v>
      </c>
      <c r="P260">
        <v>380</v>
      </c>
      <c r="Q260">
        <f t="shared" si="24"/>
        <v>2024</v>
      </c>
      <c r="R260">
        <f t="shared" si="25"/>
        <v>1</v>
      </c>
      <c r="S260" s="4">
        <f t="shared" si="26"/>
        <v>370</v>
      </c>
      <c r="T260">
        <f t="shared" ref="T260:T323" si="28">ROUNDDOWN(V259*$Y$2/L260,0)</f>
        <v>16</v>
      </c>
      <c r="U260" s="4">
        <f t="shared" si="27"/>
        <v>5920</v>
      </c>
      <c r="V260" s="4">
        <f t="shared" ref="V260:V323" si="29">V259+U260</f>
        <v>636711</v>
      </c>
    </row>
    <row r="261" spans="1:22" x14ac:dyDescent="0.25">
      <c r="A261" s="1">
        <v>273</v>
      </c>
      <c r="B261" s="2">
        <v>45321</v>
      </c>
      <c r="C261">
        <v>0</v>
      </c>
      <c r="D261">
        <v>90293</v>
      </c>
      <c r="E261">
        <v>91020</v>
      </c>
      <c r="F261">
        <v>89919</v>
      </c>
      <c r="G261">
        <v>90820</v>
      </c>
      <c r="H261">
        <v>746473</v>
      </c>
      <c r="I261">
        <v>1168.0899999999999</v>
      </c>
      <c r="J261">
        <v>1</v>
      </c>
      <c r="K261">
        <v>0</v>
      </c>
      <c r="L261">
        <v>391</v>
      </c>
      <c r="M261">
        <v>782</v>
      </c>
      <c r="N261">
        <v>0</v>
      </c>
      <c r="O261">
        <v>-572</v>
      </c>
      <c r="P261">
        <v>-572</v>
      </c>
      <c r="Q261">
        <f t="shared" si="24"/>
        <v>2024</v>
      </c>
      <c r="R261">
        <f t="shared" si="25"/>
        <v>1</v>
      </c>
      <c r="S261" s="4">
        <f t="shared" si="26"/>
        <v>-582</v>
      </c>
      <c r="T261">
        <f t="shared" si="28"/>
        <v>16</v>
      </c>
      <c r="U261" s="4">
        <f t="shared" si="27"/>
        <v>-9312</v>
      </c>
      <c r="V261" s="4">
        <f t="shared" si="29"/>
        <v>627399</v>
      </c>
    </row>
    <row r="262" spans="1:22" x14ac:dyDescent="0.25">
      <c r="A262" s="1">
        <v>274</v>
      </c>
      <c r="B262" s="2">
        <v>45322</v>
      </c>
      <c r="C262">
        <v>0</v>
      </c>
      <c r="D262">
        <v>90848</v>
      </c>
      <c r="E262">
        <v>91488</v>
      </c>
      <c r="F262">
        <v>90579</v>
      </c>
      <c r="G262">
        <v>91457</v>
      </c>
      <c r="H262">
        <v>972957</v>
      </c>
      <c r="I262">
        <v>1149.58</v>
      </c>
      <c r="J262">
        <v>1</v>
      </c>
      <c r="K262">
        <v>1</v>
      </c>
      <c r="L262">
        <v>389</v>
      </c>
      <c r="M262">
        <v>779</v>
      </c>
      <c r="N262">
        <v>601</v>
      </c>
      <c r="O262">
        <v>0</v>
      </c>
      <c r="P262">
        <v>601</v>
      </c>
      <c r="Q262">
        <f t="shared" si="24"/>
        <v>2024</v>
      </c>
      <c r="R262">
        <f t="shared" si="25"/>
        <v>1</v>
      </c>
      <c r="S262" s="4">
        <f t="shared" si="26"/>
        <v>591</v>
      </c>
      <c r="T262">
        <f t="shared" si="28"/>
        <v>16</v>
      </c>
      <c r="U262" s="4">
        <f t="shared" si="27"/>
        <v>9456</v>
      </c>
      <c r="V262" s="4">
        <f t="shared" si="29"/>
        <v>636855</v>
      </c>
    </row>
    <row r="263" spans="1:22" x14ac:dyDescent="0.25">
      <c r="A263" s="1">
        <v>275</v>
      </c>
      <c r="B263" s="2">
        <v>45323</v>
      </c>
      <c r="C263">
        <v>0</v>
      </c>
      <c r="D263">
        <v>91481</v>
      </c>
      <c r="E263">
        <v>92000</v>
      </c>
      <c r="F263">
        <v>91131</v>
      </c>
      <c r="G263">
        <v>91834</v>
      </c>
      <c r="H263">
        <v>793348</v>
      </c>
      <c r="I263">
        <v>1129.54</v>
      </c>
      <c r="J263">
        <v>1</v>
      </c>
      <c r="K263">
        <v>1</v>
      </c>
      <c r="L263">
        <v>383</v>
      </c>
      <c r="M263">
        <v>766</v>
      </c>
      <c r="N263">
        <v>420</v>
      </c>
      <c r="O263">
        <v>0</v>
      </c>
      <c r="P263">
        <v>420</v>
      </c>
      <c r="Q263">
        <f t="shared" si="24"/>
        <v>2024</v>
      </c>
      <c r="R263">
        <f t="shared" si="25"/>
        <v>2</v>
      </c>
      <c r="S263" s="4">
        <f t="shared" si="26"/>
        <v>410</v>
      </c>
      <c r="T263">
        <f t="shared" si="28"/>
        <v>16</v>
      </c>
      <c r="U263" s="4">
        <f t="shared" si="27"/>
        <v>6560</v>
      </c>
      <c r="V263" s="4">
        <f t="shared" si="29"/>
        <v>643415</v>
      </c>
    </row>
    <row r="264" spans="1:22" x14ac:dyDescent="0.25">
      <c r="A264" s="1">
        <v>276</v>
      </c>
      <c r="B264" s="2">
        <v>45324</v>
      </c>
      <c r="C264">
        <v>0</v>
      </c>
      <c r="D264">
        <v>91939</v>
      </c>
      <c r="E264">
        <v>92795</v>
      </c>
      <c r="F264">
        <v>91772</v>
      </c>
      <c r="G264">
        <v>92184</v>
      </c>
      <c r="H264">
        <v>1038800</v>
      </c>
      <c r="I264">
        <v>1121.93</v>
      </c>
      <c r="J264">
        <v>1</v>
      </c>
      <c r="K264">
        <v>1</v>
      </c>
      <c r="L264">
        <v>377</v>
      </c>
      <c r="M264">
        <v>753</v>
      </c>
      <c r="N264">
        <v>271</v>
      </c>
      <c r="O264">
        <v>0</v>
      </c>
      <c r="P264">
        <v>271</v>
      </c>
      <c r="Q264">
        <f t="shared" si="24"/>
        <v>2024</v>
      </c>
      <c r="R264">
        <f t="shared" si="25"/>
        <v>2</v>
      </c>
      <c r="S264" s="4">
        <f t="shared" si="26"/>
        <v>261</v>
      </c>
      <c r="T264">
        <f t="shared" si="28"/>
        <v>17</v>
      </c>
      <c r="U264" s="4">
        <f t="shared" si="27"/>
        <v>4437</v>
      </c>
      <c r="V264" s="4">
        <f t="shared" si="29"/>
        <v>647852</v>
      </c>
    </row>
    <row r="265" spans="1:22" x14ac:dyDescent="0.25">
      <c r="A265" s="1">
        <v>277</v>
      </c>
      <c r="B265" s="2">
        <v>45327</v>
      </c>
      <c r="C265">
        <v>0</v>
      </c>
      <c r="D265">
        <v>92310</v>
      </c>
      <c r="E265">
        <v>93144</v>
      </c>
      <c r="F265">
        <v>91531</v>
      </c>
      <c r="G265">
        <v>91774</v>
      </c>
      <c r="H265">
        <v>1215951</v>
      </c>
      <c r="I265">
        <v>1157.01</v>
      </c>
      <c r="J265">
        <v>0</v>
      </c>
      <c r="K265">
        <v>1</v>
      </c>
      <c r="L265">
        <v>374</v>
      </c>
      <c r="M265">
        <v>748</v>
      </c>
      <c r="N265">
        <v>374</v>
      </c>
      <c r="O265">
        <v>0</v>
      </c>
      <c r="P265">
        <v>374</v>
      </c>
      <c r="Q265">
        <f t="shared" si="24"/>
        <v>2024</v>
      </c>
      <c r="R265">
        <f t="shared" si="25"/>
        <v>2</v>
      </c>
      <c r="S265" s="4">
        <f t="shared" si="26"/>
        <v>364</v>
      </c>
      <c r="T265">
        <f t="shared" si="28"/>
        <v>17</v>
      </c>
      <c r="U265" s="4">
        <f t="shared" si="27"/>
        <v>6188</v>
      </c>
      <c r="V265" s="4">
        <f t="shared" si="29"/>
        <v>654040</v>
      </c>
    </row>
    <row r="266" spans="1:22" x14ac:dyDescent="0.25">
      <c r="A266" s="1">
        <v>278</v>
      </c>
      <c r="B266" s="2">
        <v>45328</v>
      </c>
      <c r="C266">
        <v>0</v>
      </c>
      <c r="D266">
        <v>91771</v>
      </c>
      <c r="E266">
        <v>92559</v>
      </c>
      <c r="F266">
        <v>91680</v>
      </c>
      <c r="G266">
        <v>92469</v>
      </c>
      <c r="H266">
        <v>706853</v>
      </c>
      <c r="I266">
        <v>1137.1500000000001</v>
      </c>
      <c r="J266">
        <v>1</v>
      </c>
      <c r="K266">
        <v>0</v>
      </c>
      <c r="L266">
        <v>386</v>
      </c>
      <c r="M266">
        <v>771</v>
      </c>
      <c r="N266">
        <v>0</v>
      </c>
      <c r="O266">
        <v>-715</v>
      </c>
      <c r="P266">
        <v>-715</v>
      </c>
      <c r="Q266">
        <f t="shared" si="24"/>
        <v>2024</v>
      </c>
      <c r="R266">
        <f t="shared" si="25"/>
        <v>2</v>
      </c>
      <c r="S266" s="4">
        <f t="shared" si="26"/>
        <v>-725</v>
      </c>
      <c r="T266">
        <f t="shared" si="28"/>
        <v>16</v>
      </c>
      <c r="U266" s="4">
        <f t="shared" si="27"/>
        <v>-11600</v>
      </c>
      <c r="V266" s="4">
        <f t="shared" si="29"/>
        <v>642440</v>
      </c>
    </row>
    <row r="267" spans="1:22" x14ac:dyDescent="0.25">
      <c r="A267" s="1">
        <v>279</v>
      </c>
      <c r="B267" s="2">
        <v>45329</v>
      </c>
      <c r="C267">
        <v>0</v>
      </c>
      <c r="D267">
        <v>92410</v>
      </c>
      <c r="E267">
        <v>92846</v>
      </c>
      <c r="F267">
        <v>91934</v>
      </c>
      <c r="G267">
        <v>92573</v>
      </c>
      <c r="H267">
        <v>790778</v>
      </c>
      <c r="I267">
        <v>1121.07</v>
      </c>
      <c r="J267">
        <v>1</v>
      </c>
      <c r="K267">
        <v>1</v>
      </c>
      <c r="L267">
        <v>379</v>
      </c>
      <c r="M267">
        <v>758</v>
      </c>
      <c r="N267">
        <v>224</v>
      </c>
      <c r="O267">
        <v>0</v>
      </c>
      <c r="P267">
        <v>224</v>
      </c>
      <c r="Q267">
        <f t="shared" si="24"/>
        <v>2024</v>
      </c>
      <c r="R267">
        <f t="shared" si="25"/>
        <v>2</v>
      </c>
      <c r="S267" s="4">
        <f t="shared" si="26"/>
        <v>214</v>
      </c>
      <c r="T267">
        <f t="shared" si="28"/>
        <v>16</v>
      </c>
      <c r="U267" s="4">
        <f t="shared" si="27"/>
        <v>3424</v>
      </c>
      <c r="V267" s="4">
        <f t="shared" si="29"/>
        <v>645864</v>
      </c>
    </row>
    <row r="268" spans="1:22" x14ac:dyDescent="0.25">
      <c r="A268" s="1">
        <v>280</v>
      </c>
      <c r="B268" s="2">
        <v>45330</v>
      </c>
      <c r="C268">
        <v>0</v>
      </c>
      <c r="D268">
        <v>92566</v>
      </c>
      <c r="E268">
        <v>92721</v>
      </c>
      <c r="F268">
        <v>91439</v>
      </c>
      <c r="G268">
        <v>91585</v>
      </c>
      <c r="H268">
        <v>939365</v>
      </c>
      <c r="I268">
        <v>1132.56</v>
      </c>
      <c r="J268">
        <v>0</v>
      </c>
      <c r="K268">
        <v>1</v>
      </c>
      <c r="L268">
        <v>374</v>
      </c>
      <c r="M268">
        <v>747</v>
      </c>
      <c r="N268">
        <v>374</v>
      </c>
      <c r="O268">
        <v>0</v>
      </c>
      <c r="P268">
        <v>374</v>
      </c>
      <c r="Q268">
        <f t="shared" si="24"/>
        <v>2024</v>
      </c>
      <c r="R268">
        <f t="shared" si="25"/>
        <v>2</v>
      </c>
      <c r="S268" s="4">
        <f t="shared" si="26"/>
        <v>364</v>
      </c>
      <c r="T268">
        <f t="shared" si="28"/>
        <v>17</v>
      </c>
      <c r="U268" s="4">
        <f t="shared" si="27"/>
        <v>6188</v>
      </c>
      <c r="V268" s="4">
        <f t="shared" si="29"/>
        <v>652052</v>
      </c>
    </row>
    <row r="269" spans="1:22" x14ac:dyDescent="0.25">
      <c r="A269" s="1">
        <v>281</v>
      </c>
      <c r="B269" s="2">
        <v>45331</v>
      </c>
      <c r="C269">
        <v>0</v>
      </c>
      <c r="D269">
        <v>91683</v>
      </c>
      <c r="E269">
        <v>92048</v>
      </c>
      <c r="F269">
        <v>91327</v>
      </c>
      <c r="G269">
        <v>91941</v>
      </c>
      <c r="H269">
        <v>736507</v>
      </c>
      <c r="I269">
        <v>1103.1600000000001</v>
      </c>
      <c r="J269">
        <v>1</v>
      </c>
      <c r="K269">
        <v>0</v>
      </c>
      <c r="L269">
        <v>378</v>
      </c>
      <c r="M269">
        <v>755</v>
      </c>
      <c r="N269">
        <v>0</v>
      </c>
      <c r="O269">
        <v>-276</v>
      </c>
      <c r="P269">
        <v>-276</v>
      </c>
      <c r="Q269">
        <f t="shared" si="24"/>
        <v>2024</v>
      </c>
      <c r="R269">
        <f t="shared" si="25"/>
        <v>2</v>
      </c>
      <c r="S269" s="4">
        <f t="shared" si="26"/>
        <v>-286</v>
      </c>
      <c r="T269">
        <f t="shared" si="28"/>
        <v>17</v>
      </c>
      <c r="U269" s="4">
        <f t="shared" si="27"/>
        <v>-4862</v>
      </c>
      <c r="V269" s="4">
        <f t="shared" si="29"/>
        <v>647190</v>
      </c>
    </row>
    <row r="270" spans="1:22" x14ac:dyDescent="0.25">
      <c r="A270" s="1">
        <v>282</v>
      </c>
      <c r="B270" s="2">
        <v>45334</v>
      </c>
      <c r="C270">
        <v>0</v>
      </c>
      <c r="D270">
        <v>91919</v>
      </c>
      <c r="E270">
        <v>92266</v>
      </c>
      <c r="F270">
        <v>91600</v>
      </c>
      <c r="G270">
        <v>92016</v>
      </c>
      <c r="H270">
        <v>744786</v>
      </c>
      <c r="I270">
        <v>1071.94</v>
      </c>
      <c r="J270">
        <v>1</v>
      </c>
      <c r="K270">
        <v>1</v>
      </c>
      <c r="L270">
        <v>368</v>
      </c>
      <c r="M270">
        <v>735</v>
      </c>
      <c r="N270">
        <v>86</v>
      </c>
      <c r="O270">
        <v>0</v>
      </c>
      <c r="P270">
        <v>86</v>
      </c>
      <c r="Q270">
        <f t="shared" si="24"/>
        <v>2024</v>
      </c>
      <c r="R270">
        <f t="shared" si="25"/>
        <v>2</v>
      </c>
      <c r="S270" s="4">
        <f t="shared" si="26"/>
        <v>76</v>
      </c>
      <c r="T270">
        <f t="shared" si="28"/>
        <v>17</v>
      </c>
      <c r="U270" s="4">
        <f t="shared" si="27"/>
        <v>1292</v>
      </c>
      <c r="V270" s="4">
        <f t="shared" si="29"/>
        <v>648482</v>
      </c>
    </row>
    <row r="271" spans="1:22" x14ac:dyDescent="0.25">
      <c r="A271" s="1">
        <v>283</v>
      </c>
      <c r="B271" s="2">
        <v>45335</v>
      </c>
      <c r="C271">
        <v>0</v>
      </c>
      <c r="D271">
        <v>91985</v>
      </c>
      <c r="E271">
        <v>92355</v>
      </c>
      <c r="F271">
        <v>91811</v>
      </c>
      <c r="G271">
        <v>92028</v>
      </c>
      <c r="H271">
        <v>653896</v>
      </c>
      <c r="I271">
        <v>1034.23</v>
      </c>
      <c r="J271">
        <v>1</v>
      </c>
      <c r="K271">
        <v>1</v>
      </c>
      <c r="L271">
        <v>357</v>
      </c>
      <c r="M271">
        <v>715</v>
      </c>
      <c r="N271">
        <v>127</v>
      </c>
      <c r="O271">
        <v>0</v>
      </c>
      <c r="P271">
        <v>127</v>
      </c>
      <c r="Q271">
        <f t="shared" si="24"/>
        <v>2024</v>
      </c>
      <c r="R271">
        <f t="shared" si="25"/>
        <v>2</v>
      </c>
      <c r="S271" s="4">
        <f t="shared" si="26"/>
        <v>117</v>
      </c>
      <c r="T271">
        <f t="shared" si="28"/>
        <v>18</v>
      </c>
      <c r="U271" s="4">
        <f t="shared" si="27"/>
        <v>2106</v>
      </c>
      <c r="V271" s="4">
        <f t="shared" si="29"/>
        <v>650588</v>
      </c>
    </row>
    <row r="272" spans="1:22" x14ac:dyDescent="0.25">
      <c r="A272" s="1">
        <v>284</v>
      </c>
      <c r="B272" s="2">
        <v>45336</v>
      </c>
      <c r="C272">
        <v>0</v>
      </c>
      <c r="D272">
        <v>92078</v>
      </c>
      <c r="E272">
        <v>92551</v>
      </c>
      <c r="F272">
        <v>91959</v>
      </c>
      <c r="G272">
        <v>92367</v>
      </c>
      <c r="H272">
        <v>653793</v>
      </c>
      <c r="I272">
        <v>1002.64</v>
      </c>
      <c r="J272">
        <v>1</v>
      </c>
      <c r="K272">
        <v>1</v>
      </c>
      <c r="L272">
        <v>345</v>
      </c>
      <c r="M272">
        <v>689</v>
      </c>
      <c r="N272">
        <v>307</v>
      </c>
      <c r="O272">
        <v>0</v>
      </c>
      <c r="P272">
        <v>307</v>
      </c>
      <c r="Q272">
        <f t="shared" si="24"/>
        <v>2024</v>
      </c>
      <c r="R272">
        <f t="shared" si="25"/>
        <v>2</v>
      </c>
      <c r="S272" s="4">
        <f t="shared" si="26"/>
        <v>297</v>
      </c>
      <c r="T272">
        <f t="shared" si="28"/>
        <v>18</v>
      </c>
      <c r="U272" s="4">
        <f t="shared" si="27"/>
        <v>5346</v>
      </c>
      <c r="V272" s="4">
        <f t="shared" si="29"/>
        <v>655934</v>
      </c>
    </row>
    <row r="273" spans="1:22" x14ac:dyDescent="0.25">
      <c r="A273" s="1">
        <v>285</v>
      </c>
      <c r="B273" s="2">
        <v>45337</v>
      </c>
      <c r="C273">
        <v>0</v>
      </c>
      <c r="D273">
        <v>92390</v>
      </c>
      <c r="E273">
        <v>93173</v>
      </c>
      <c r="F273">
        <v>92183</v>
      </c>
      <c r="G273">
        <v>92934</v>
      </c>
      <c r="H273">
        <v>900648</v>
      </c>
      <c r="I273">
        <v>1001.74</v>
      </c>
      <c r="J273">
        <v>1</v>
      </c>
      <c r="K273">
        <v>1</v>
      </c>
      <c r="L273">
        <v>334</v>
      </c>
      <c r="M273">
        <v>668</v>
      </c>
      <c r="N273">
        <v>574</v>
      </c>
      <c r="O273">
        <v>0</v>
      </c>
      <c r="P273">
        <v>574</v>
      </c>
      <c r="Q273">
        <f t="shared" si="24"/>
        <v>2024</v>
      </c>
      <c r="R273">
        <f t="shared" si="25"/>
        <v>2</v>
      </c>
      <c r="S273" s="4">
        <f t="shared" si="26"/>
        <v>564</v>
      </c>
      <c r="T273">
        <f t="shared" si="28"/>
        <v>19</v>
      </c>
      <c r="U273" s="4">
        <f t="shared" si="27"/>
        <v>10716</v>
      </c>
      <c r="V273" s="4">
        <f t="shared" si="29"/>
        <v>666650</v>
      </c>
    </row>
    <row r="274" spans="1:22" x14ac:dyDescent="0.25">
      <c r="A274" s="1">
        <v>286</v>
      </c>
      <c r="B274" s="2">
        <v>45338</v>
      </c>
      <c r="C274">
        <v>0</v>
      </c>
      <c r="D274">
        <v>92993</v>
      </c>
      <c r="E274">
        <v>93443</v>
      </c>
      <c r="F274">
        <v>92277</v>
      </c>
      <c r="G274">
        <v>92519</v>
      </c>
      <c r="H274">
        <v>1342145</v>
      </c>
      <c r="I274">
        <v>1013.47</v>
      </c>
      <c r="J274">
        <v>0</v>
      </c>
      <c r="K274">
        <v>1</v>
      </c>
      <c r="L274">
        <v>334</v>
      </c>
      <c r="M274">
        <v>668</v>
      </c>
      <c r="N274">
        <v>334</v>
      </c>
      <c r="O274">
        <v>0</v>
      </c>
      <c r="P274">
        <v>334</v>
      </c>
      <c r="Q274">
        <f t="shared" si="24"/>
        <v>2024</v>
      </c>
      <c r="R274">
        <f t="shared" si="25"/>
        <v>2</v>
      </c>
      <c r="S274" s="4">
        <f t="shared" si="26"/>
        <v>324</v>
      </c>
      <c r="T274">
        <f t="shared" si="28"/>
        <v>19</v>
      </c>
      <c r="U274" s="4">
        <f t="shared" si="27"/>
        <v>6156</v>
      </c>
      <c r="V274" s="4">
        <f t="shared" si="29"/>
        <v>672806</v>
      </c>
    </row>
    <row r="275" spans="1:22" x14ac:dyDescent="0.25">
      <c r="A275" s="1">
        <v>287</v>
      </c>
      <c r="B275" s="2">
        <v>45341</v>
      </c>
      <c r="C275">
        <v>0</v>
      </c>
      <c r="D275">
        <v>92558</v>
      </c>
      <c r="E275">
        <v>93120</v>
      </c>
      <c r="F275">
        <v>92545</v>
      </c>
      <c r="G275">
        <v>92990</v>
      </c>
      <c r="H275">
        <v>681571</v>
      </c>
      <c r="I275">
        <v>984.01</v>
      </c>
      <c r="J275">
        <v>1</v>
      </c>
      <c r="K275">
        <v>0</v>
      </c>
      <c r="L275">
        <v>338</v>
      </c>
      <c r="M275">
        <v>676</v>
      </c>
      <c r="N275">
        <v>0</v>
      </c>
      <c r="O275">
        <v>-436</v>
      </c>
      <c r="P275">
        <v>-436</v>
      </c>
      <c r="Q275">
        <f t="shared" si="24"/>
        <v>2024</v>
      </c>
      <c r="R275">
        <f t="shared" si="25"/>
        <v>2</v>
      </c>
      <c r="S275" s="4">
        <f t="shared" si="26"/>
        <v>-446</v>
      </c>
      <c r="T275">
        <f t="shared" si="28"/>
        <v>19</v>
      </c>
      <c r="U275" s="4">
        <f t="shared" si="27"/>
        <v>-8474</v>
      </c>
      <c r="V275" s="4">
        <f t="shared" si="29"/>
        <v>664332</v>
      </c>
    </row>
    <row r="276" spans="1:22" x14ac:dyDescent="0.25">
      <c r="A276" s="1">
        <v>288</v>
      </c>
      <c r="B276" s="2">
        <v>45342</v>
      </c>
      <c r="C276">
        <v>0</v>
      </c>
      <c r="D276">
        <v>93098</v>
      </c>
      <c r="E276">
        <v>93127</v>
      </c>
      <c r="F276">
        <v>92559</v>
      </c>
      <c r="G276">
        <v>92746</v>
      </c>
      <c r="H276">
        <v>734382</v>
      </c>
      <c r="I276">
        <v>954.29</v>
      </c>
      <c r="J276">
        <v>0</v>
      </c>
      <c r="K276">
        <v>1</v>
      </c>
      <c r="L276">
        <v>328</v>
      </c>
      <c r="M276">
        <v>656</v>
      </c>
      <c r="N276">
        <v>328</v>
      </c>
      <c r="O276">
        <v>0</v>
      </c>
      <c r="P276">
        <v>328</v>
      </c>
      <c r="Q276">
        <f t="shared" si="24"/>
        <v>2024</v>
      </c>
      <c r="R276">
        <f t="shared" si="25"/>
        <v>2</v>
      </c>
      <c r="S276" s="4">
        <f t="shared" si="26"/>
        <v>318</v>
      </c>
      <c r="T276">
        <f t="shared" si="28"/>
        <v>20</v>
      </c>
      <c r="U276" s="4">
        <f t="shared" si="27"/>
        <v>6360</v>
      </c>
      <c r="V276" s="4">
        <f t="shared" si="29"/>
        <v>670692</v>
      </c>
    </row>
    <row r="277" spans="1:22" x14ac:dyDescent="0.25">
      <c r="A277" s="1">
        <v>289</v>
      </c>
      <c r="B277" s="2">
        <v>45343</v>
      </c>
      <c r="C277">
        <v>0</v>
      </c>
      <c r="D277">
        <v>92699</v>
      </c>
      <c r="E277">
        <v>93265</v>
      </c>
      <c r="F277">
        <v>92571</v>
      </c>
      <c r="G277">
        <v>93153</v>
      </c>
      <c r="H277">
        <v>996511</v>
      </c>
      <c r="I277">
        <v>935.7</v>
      </c>
      <c r="J277">
        <v>1</v>
      </c>
      <c r="K277">
        <v>0</v>
      </c>
      <c r="L277">
        <v>318</v>
      </c>
      <c r="M277">
        <v>636</v>
      </c>
      <c r="N277">
        <v>0</v>
      </c>
      <c r="O277">
        <v>-458</v>
      </c>
      <c r="P277">
        <v>-458</v>
      </c>
      <c r="Q277">
        <f t="shared" si="24"/>
        <v>2024</v>
      </c>
      <c r="R277">
        <f t="shared" si="25"/>
        <v>2</v>
      </c>
      <c r="S277" s="4">
        <f t="shared" si="26"/>
        <v>-468</v>
      </c>
      <c r="T277">
        <f t="shared" si="28"/>
        <v>21</v>
      </c>
      <c r="U277" s="4">
        <f t="shared" si="27"/>
        <v>-9828</v>
      </c>
      <c r="V277" s="4">
        <f t="shared" si="29"/>
        <v>660864</v>
      </c>
    </row>
    <row r="278" spans="1:22" x14ac:dyDescent="0.25">
      <c r="A278" s="1">
        <v>290</v>
      </c>
      <c r="B278" s="2">
        <v>45344</v>
      </c>
      <c r="C278">
        <v>0</v>
      </c>
      <c r="D278">
        <v>93212</v>
      </c>
      <c r="E278">
        <v>93617</v>
      </c>
      <c r="F278">
        <v>91990</v>
      </c>
      <c r="G278">
        <v>93330</v>
      </c>
      <c r="H278">
        <v>1640029</v>
      </c>
      <c r="I278">
        <v>985.08</v>
      </c>
      <c r="J278">
        <v>1</v>
      </c>
      <c r="K278">
        <v>1</v>
      </c>
      <c r="L278">
        <v>312</v>
      </c>
      <c r="M278">
        <v>624</v>
      </c>
      <c r="N278">
        <v>74</v>
      </c>
      <c r="O278">
        <v>0</v>
      </c>
      <c r="P278">
        <v>74</v>
      </c>
      <c r="Q278">
        <f t="shared" si="24"/>
        <v>2024</v>
      </c>
      <c r="R278">
        <f t="shared" si="25"/>
        <v>2</v>
      </c>
      <c r="S278" s="4">
        <f t="shared" si="26"/>
        <v>64</v>
      </c>
      <c r="T278">
        <f t="shared" si="28"/>
        <v>21</v>
      </c>
      <c r="U278" s="4">
        <f t="shared" si="27"/>
        <v>1344</v>
      </c>
      <c r="V278" s="4">
        <f t="shared" si="29"/>
        <v>662208</v>
      </c>
    </row>
    <row r="279" spans="1:22" x14ac:dyDescent="0.25">
      <c r="A279" s="1">
        <v>291</v>
      </c>
      <c r="B279" s="2">
        <v>45348</v>
      </c>
      <c r="C279">
        <v>0</v>
      </c>
      <c r="D279">
        <v>93284</v>
      </c>
      <c r="E279">
        <v>93284</v>
      </c>
      <c r="F279">
        <v>92180</v>
      </c>
      <c r="G279">
        <v>92604</v>
      </c>
      <c r="H279">
        <v>798693</v>
      </c>
      <c r="I279">
        <v>996.86</v>
      </c>
      <c r="J279">
        <v>0</v>
      </c>
      <c r="K279">
        <v>1</v>
      </c>
      <c r="L279">
        <v>328</v>
      </c>
      <c r="M279">
        <v>657</v>
      </c>
      <c r="N279">
        <v>328</v>
      </c>
      <c r="O279">
        <v>0</v>
      </c>
      <c r="P279">
        <v>328</v>
      </c>
      <c r="Q279">
        <f t="shared" si="24"/>
        <v>2024</v>
      </c>
      <c r="R279">
        <f t="shared" si="25"/>
        <v>2</v>
      </c>
      <c r="S279" s="4">
        <f t="shared" si="26"/>
        <v>318</v>
      </c>
      <c r="T279">
        <f t="shared" si="28"/>
        <v>20</v>
      </c>
      <c r="U279" s="4">
        <f t="shared" si="27"/>
        <v>6360</v>
      </c>
      <c r="V279" s="4">
        <f t="shared" si="29"/>
        <v>668568</v>
      </c>
    </row>
    <row r="280" spans="1:22" x14ac:dyDescent="0.25">
      <c r="A280" s="1">
        <v>292</v>
      </c>
      <c r="B280" s="2">
        <v>45349</v>
      </c>
      <c r="C280">
        <v>0</v>
      </c>
      <c r="D280">
        <v>92604</v>
      </c>
      <c r="E280">
        <v>92810</v>
      </c>
      <c r="F280">
        <v>92238</v>
      </c>
      <c r="G280">
        <v>92577</v>
      </c>
      <c r="H280">
        <v>557101</v>
      </c>
      <c r="I280">
        <v>966.51</v>
      </c>
      <c r="J280">
        <v>0</v>
      </c>
      <c r="K280">
        <v>0</v>
      </c>
      <c r="L280">
        <v>332</v>
      </c>
      <c r="M280">
        <v>665</v>
      </c>
      <c r="N280">
        <v>0</v>
      </c>
      <c r="O280">
        <v>13</v>
      </c>
      <c r="P280">
        <v>13</v>
      </c>
      <c r="Q280">
        <f t="shared" si="24"/>
        <v>2024</v>
      </c>
      <c r="R280">
        <f t="shared" si="25"/>
        <v>2</v>
      </c>
      <c r="S280" s="4">
        <f t="shared" si="26"/>
        <v>3</v>
      </c>
      <c r="T280">
        <f t="shared" si="28"/>
        <v>20</v>
      </c>
      <c r="U280" s="4">
        <f t="shared" si="27"/>
        <v>60</v>
      </c>
      <c r="V280" s="4">
        <f t="shared" si="29"/>
        <v>668628</v>
      </c>
    </row>
    <row r="281" spans="1:22" x14ac:dyDescent="0.25">
      <c r="A281" s="1">
        <v>293</v>
      </c>
      <c r="B281" s="2">
        <v>45350</v>
      </c>
      <c r="C281">
        <v>0</v>
      </c>
      <c r="D281">
        <v>92663</v>
      </c>
      <c r="E281">
        <v>92697</v>
      </c>
      <c r="F281">
        <v>91609</v>
      </c>
      <c r="G281">
        <v>91710</v>
      </c>
      <c r="H281">
        <v>881571</v>
      </c>
      <c r="I281">
        <v>975.19</v>
      </c>
      <c r="J281">
        <v>0</v>
      </c>
      <c r="K281">
        <v>0</v>
      </c>
      <c r="L281">
        <v>322</v>
      </c>
      <c r="M281">
        <v>644</v>
      </c>
      <c r="N281">
        <v>0</v>
      </c>
      <c r="O281">
        <v>644</v>
      </c>
      <c r="P281">
        <v>644</v>
      </c>
      <c r="Q281">
        <f t="shared" si="24"/>
        <v>2024</v>
      </c>
      <c r="R281">
        <f t="shared" si="25"/>
        <v>2</v>
      </c>
      <c r="S281" s="4">
        <f t="shared" si="26"/>
        <v>634</v>
      </c>
      <c r="T281">
        <f t="shared" si="28"/>
        <v>20</v>
      </c>
      <c r="U281" s="4">
        <f t="shared" si="27"/>
        <v>12680</v>
      </c>
      <c r="V281" s="4">
        <f t="shared" si="29"/>
        <v>681308</v>
      </c>
    </row>
    <row r="282" spans="1:22" x14ac:dyDescent="0.25">
      <c r="A282" s="1">
        <v>294</v>
      </c>
      <c r="B282" s="2">
        <v>45351</v>
      </c>
      <c r="C282">
        <v>0</v>
      </c>
      <c r="D282">
        <v>91740</v>
      </c>
      <c r="E282">
        <v>91899</v>
      </c>
      <c r="F282">
        <v>91071</v>
      </c>
      <c r="G282">
        <v>91490</v>
      </c>
      <c r="H282">
        <v>931363</v>
      </c>
      <c r="I282">
        <v>964.68</v>
      </c>
      <c r="J282">
        <v>0</v>
      </c>
      <c r="K282">
        <v>0</v>
      </c>
      <c r="L282">
        <v>325</v>
      </c>
      <c r="M282">
        <v>650</v>
      </c>
      <c r="N282">
        <v>0</v>
      </c>
      <c r="O282">
        <v>207</v>
      </c>
      <c r="P282">
        <v>207</v>
      </c>
      <c r="Q282">
        <f t="shared" si="24"/>
        <v>2024</v>
      </c>
      <c r="R282">
        <f t="shared" si="25"/>
        <v>2</v>
      </c>
      <c r="S282" s="4">
        <f t="shared" si="26"/>
        <v>197</v>
      </c>
      <c r="T282">
        <f t="shared" si="28"/>
        <v>20</v>
      </c>
      <c r="U282" s="4">
        <f t="shared" si="27"/>
        <v>3940</v>
      </c>
      <c r="V282" s="4">
        <f t="shared" si="29"/>
        <v>685248</v>
      </c>
    </row>
    <row r="283" spans="1:22" x14ac:dyDescent="0.25">
      <c r="A283" s="1">
        <v>295</v>
      </c>
      <c r="B283" s="2">
        <v>45352</v>
      </c>
      <c r="C283">
        <v>0</v>
      </c>
      <c r="D283">
        <v>91628</v>
      </c>
      <c r="E283">
        <v>92368</v>
      </c>
      <c r="F283">
        <v>91628</v>
      </c>
      <c r="G283">
        <v>92156</v>
      </c>
      <c r="H283">
        <v>609735</v>
      </c>
      <c r="I283">
        <v>958.49</v>
      </c>
      <c r="J283">
        <v>1</v>
      </c>
      <c r="K283">
        <v>0</v>
      </c>
      <c r="L283">
        <v>322</v>
      </c>
      <c r="M283">
        <v>643</v>
      </c>
      <c r="N283">
        <v>0</v>
      </c>
      <c r="O283">
        <v>-536</v>
      </c>
      <c r="P283">
        <v>-536</v>
      </c>
      <c r="Q283">
        <f t="shared" si="24"/>
        <v>2024</v>
      </c>
      <c r="R283">
        <f t="shared" si="25"/>
        <v>3</v>
      </c>
      <c r="S283" s="4">
        <f t="shared" si="26"/>
        <v>-546</v>
      </c>
      <c r="T283">
        <f t="shared" si="28"/>
        <v>21</v>
      </c>
      <c r="U283" s="4">
        <f t="shared" si="27"/>
        <v>-11466</v>
      </c>
      <c r="V283" s="4">
        <f t="shared" si="29"/>
        <v>673782</v>
      </c>
    </row>
    <row r="284" spans="1:22" x14ac:dyDescent="0.25">
      <c r="A284" s="1">
        <v>296</v>
      </c>
      <c r="B284" s="2">
        <v>45355</v>
      </c>
      <c r="C284">
        <v>0</v>
      </c>
      <c r="D284">
        <v>92154</v>
      </c>
      <c r="E284">
        <v>92200</v>
      </c>
      <c r="F284">
        <v>91485</v>
      </c>
      <c r="G284">
        <v>91645</v>
      </c>
      <c r="H284">
        <v>579661</v>
      </c>
      <c r="I284">
        <v>941.09</v>
      </c>
      <c r="J284">
        <v>0</v>
      </c>
      <c r="K284">
        <v>1</v>
      </c>
      <c r="L284">
        <v>319</v>
      </c>
      <c r="M284">
        <v>639</v>
      </c>
      <c r="N284">
        <v>319</v>
      </c>
      <c r="O284">
        <v>0</v>
      </c>
      <c r="P284">
        <v>319</v>
      </c>
      <c r="Q284">
        <f t="shared" si="24"/>
        <v>2024</v>
      </c>
      <c r="R284">
        <f t="shared" si="25"/>
        <v>3</v>
      </c>
      <c r="S284" s="4">
        <f t="shared" si="26"/>
        <v>309</v>
      </c>
      <c r="T284">
        <f t="shared" si="28"/>
        <v>21</v>
      </c>
      <c r="U284" s="4">
        <f t="shared" si="27"/>
        <v>6489</v>
      </c>
      <c r="V284" s="4">
        <f t="shared" si="29"/>
        <v>680271</v>
      </c>
    </row>
    <row r="285" spans="1:22" x14ac:dyDescent="0.25">
      <c r="A285" s="1">
        <v>297</v>
      </c>
      <c r="B285" s="2">
        <v>45356</v>
      </c>
      <c r="C285">
        <v>0</v>
      </c>
      <c r="D285">
        <v>91706</v>
      </c>
      <c r="E285">
        <v>91836</v>
      </c>
      <c r="F285">
        <v>91051</v>
      </c>
      <c r="G285">
        <v>91104</v>
      </c>
      <c r="H285">
        <v>617560</v>
      </c>
      <c r="I285">
        <v>929.94</v>
      </c>
      <c r="J285">
        <v>0</v>
      </c>
      <c r="K285">
        <v>0</v>
      </c>
      <c r="L285">
        <v>314</v>
      </c>
      <c r="M285">
        <v>627</v>
      </c>
      <c r="N285">
        <v>0</v>
      </c>
      <c r="O285">
        <v>562</v>
      </c>
      <c r="P285">
        <v>562</v>
      </c>
      <c r="Q285">
        <f t="shared" si="24"/>
        <v>2024</v>
      </c>
      <c r="R285">
        <f t="shared" si="25"/>
        <v>3</v>
      </c>
      <c r="S285" s="4">
        <f t="shared" si="26"/>
        <v>552</v>
      </c>
      <c r="T285">
        <f t="shared" si="28"/>
        <v>21</v>
      </c>
      <c r="U285" s="4">
        <f t="shared" si="27"/>
        <v>11592</v>
      </c>
      <c r="V285" s="4">
        <f t="shared" si="29"/>
        <v>691863</v>
      </c>
    </row>
    <row r="286" spans="1:22" x14ac:dyDescent="0.25">
      <c r="A286" s="1">
        <v>298</v>
      </c>
      <c r="B286" s="2">
        <v>45357</v>
      </c>
      <c r="C286">
        <v>0</v>
      </c>
      <c r="D286">
        <v>91186</v>
      </c>
      <c r="E286">
        <v>91472</v>
      </c>
      <c r="F286">
        <v>90692</v>
      </c>
      <c r="G286">
        <v>91238</v>
      </c>
      <c r="H286">
        <v>753363</v>
      </c>
      <c r="I286">
        <v>919.23</v>
      </c>
      <c r="J286">
        <v>1</v>
      </c>
      <c r="K286">
        <v>0</v>
      </c>
      <c r="L286">
        <v>310</v>
      </c>
      <c r="M286">
        <v>620</v>
      </c>
      <c r="N286">
        <v>0</v>
      </c>
      <c r="O286">
        <v>-13</v>
      </c>
      <c r="P286">
        <v>-13</v>
      </c>
      <c r="Q286">
        <f t="shared" si="24"/>
        <v>2024</v>
      </c>
      <c r="R286">
        <f t="shared" si="25"/>
        <v>3</v>
      </c>
      <c r="S286" s="4">
        <f t="shared" si="26"/>
        <v>-23</v>
      </c>
      <c r="T286">
        <f t="shared" si="28"/>
        <v>22</v>
      </c>
      <c r="U286" s="4">
        <f t="shared" si="27"/>
        <v>-506</v>
      </c>
      <c r="V286" s="4">
        <f t="shared" si="29"/>
        <v>691357</v>
      </c>
    </row>
    <row r="287" spans="1:22" x14ac:dyDescent="0.25">
      <c r="A287" s="1">
        <v>299</v>
      </c>
      <c r="B287" s="2">
        <v>45358</v>
      </c>
      <c r="C287">
        <v>0</v>
      </c>
      <c r="D287">
        <v>91249</v>
      </c>
      <c r="E287">
        <v>91695</v>
      </c>
      <c r="F287">
        <v>91110</v>
      </c>
      <c r="G287">
        <v>91239</v>
      </c>
      <c r="H287">
        <v>701617</v>
      </c>
      <c r="I287">
        <v>895.36</v>
      </c>
      <c r="J287">
        <v>0</v>
      </c>
      <c r="K287">
        <v>1</v>
      </c>
      <c r="L287">
        <v>306</v>
      </c>
      <c r="M287">
        <v>613</v>
      </c>
      <c r="N287">
        <v>-28</v>
      </c>
      <c r="O287">
        <v>0</v>
      </c>
      <c r="P287">
        <v>-28</v>
      </c>
      <c r="Q287">
        <f t="shared" si="24"/>
        <v>2024</v>
      </c>
      <c r="R287">
        <f t="shared" si="25"/>
        <v>3</v>
      </c>
      <c r="S287" s="4">
        <f t="shared" si="26"/>
        <v>-38</v>
      </c>
      <c r="T287">
        <f t="shared" si="28"/>
        <v>22</v>
      </c>
      <c r="U287" s="4">
        <f t="shared" si="27"/>
        <v>-836</v>
      </c>
      <c r="V287" s="4">
        <f t="shared" si="29"/>
        <v>690521</v>
      </c>
    </row>
    <row r="288" spans="1:22" x14ac:dyDescent="0.25">
      <c r="A288" s="1">
        <v>300</v>
      </c>
      <c r="B288" s="2">
        <v>45362</v>
      </c>
      <c r="C288">
        <v>0</v>
      </c>
      <c r="D288">
        <v>91272</v>
      </c>
      <c r="E288">
        <v>91323</v>
      </c>
      <c r="F288">
        <v>90779</v>
      </c>
      <c r="G288">
        <v>91027</v>
      </c>
      <c r="H288">
        <v>583909</v>
      </c>
      <c r="I288">
        <v>870.26</v>
      </c>
      <c r="J288">
        <v>0</v>
      </c>
      <c r="K288">
        <v>0</v>
      </c>
      <c r="L288">
        <v>298</v>
      </c>
      <c r="M288">
        <v>597</v>
      </c>
      <c r="N288">
        <v>0</v>
      </c>
      <c r="O288">
        <v>198</v>
      </c>
      <c r="P288">
        <v>198</v>
      </c>
      <c r="Q288">
        <f t="shared" si="24"/>
        <v>2024</v>
      </c>
      <c r="R288">
        <f t="shared" si="25"/>
        <v>3</v>
      </c>
      <c r="S288" s="4">
        <f t="shared" si="26"/>
        <v>188</v>
      </c>
      <c r="T288">
        <f t="shared" si="28"/>
        <v>23</v>
      </c>
      <c r="U288" s="4">
        <f t="shared" si="27"/>
        <v>4324</v>
      </c>
      <c r="V288" s="4">
        <f t="shared" si="29"/>
        <v>694845</v>
      </c>
    </row>
    <row r="289" spans="1:22" x14ac:dyDescent="0.25">
      <c r="A289" s="1">
        <v>301</v>
      </c>
      <c r="B289" s="2">
        <v>45363</v>
      </c>
      <c r="C289">
        <v>0</v>
      </c>
      <c r="D289">
        <v>91023</v>
      </c>
      <c r="E289">
        <v>92220</v>
      </c>
      <c r="F289">
        <v>90961</v>
      </c>
      <c r="G289">
        <v>92178</v>
      </c>
      <c r="H289">
        <v>816204</v>
      </c>
      <c r="I289">
        <v>898.03</v>
      </c>
      <c r="J289">
        <v>1</v>
      </c>
      <c r="K289">
        <v>0</v>
      </c>
      <c r="L289">
        <v>290</v>
      </c>
      <c r="M289">
        <v>580</v>
      </c>
      <c r="N289">
        <v>0</v>
      </c>
      <c r="O289">
        <v>290</v>
      </c>
      <c r="P289">
        <v>290</v>
      </c>
      <c r="Q289">
        <f t="shared" si="24"/>
        <v>2024</v>
      </c>
      <c r="R289">
        <f t="shared" si="25"/>
        <v>3</v>
      </c>
      <c r="S289" s="4">
        <f t="shared" si="26"/>
        <v>280</v>
      </c>
      <c r="T289">
        <f t="shared" si="28"/>
        <v>23</v>
      </c>
      <c r="U289" s="4">
        <f t="shared" si="27"/>
        <v>6440</v>
      </c>
      <c r="V289" s="4">
        <f t="shared" si="29"/>
        <v>701285</v>
      </c>
    </row>
    <row r="290" spans="1:22" x14ac:dyDescent="0.25">
      <c r="A290" s="1">
        <v>302</v>
      </c>
      <c r="B290" s="2">
        <v>45364</v>
      </c>
      <c r="C290">
        <v>0</v>
      </c>
      <c r="D290">
        <v>92134</v>
      </c>
      <c r="E290">
        <v>92160</v>
      </c>
      <c r="F290">
        <v>91542</v>
      </c>
      <c r="G290">
        <v>91815</v>
      </c>
      <c r="H290">
        <v>704369</v>
      </c>
      <c r="I290">
        <v>879.31</v>
      </c>
      <c r="J290">
        <v>0</v>
      </c>
      <c r="K290">
        <v>1</v>
      </c>
      <c r="L290">
        <v>299</v>
      </c>
      <c r="M290">
        <v>599</v>
      </c>
      <c r="N290">
        <v>299</v>
      </c>
      <c r="O290">
        <v>0</v>
      </c>
      <c r="P290">
        <v>299</v>
      </c>
      <c r="Q290">
        <f t="shared" si="24"/>
        <v>2024</v>
      </c>
      <c r="R290">
        <f t="shared" si="25"/>
        <v>3</v>
      </c>
      <c r="S290" s="4">
        <f t="shared" si="26"/>
        <v>289</v>
      </c>
      <c r="T290">
        <f t="shared" si="28"/>
        <v>23</v>
      </c>
      <c r="U290" s="4">
        <f t="shared" si="27"/>
        <v>6647</v>
      </c>
      <c r="V290" s="4">
        <f t="shared" si="29"/>
        <v>707932</v>
      </c>
    </row>
    <row r="291" spans="1:22" x14ac:dyDescent="0.25">
      <c r="A291" s="1">
        <v>303</v>
      </c>
      <c r="B291" s="2">
        <v>45365</v>
      </c>
      <c r="C291">
        <v>0</v>
      </c>
      <c r="D291">
        <v>91829</v>
      </c>
      <c r="E291">
        <v>92260</v>
      </c>
      <c r="F291">
        <v>91763</v>
      </c>
      <c r="G291">
        <v>91970</v>
      </c>
      <c r="H291">
        <v>707933</v>
      </c>
      <c r="I291">
        <v>852.01</v>
      </c>
      <c r="J291">
        <v>1</v>
      </c>
      <c r="K291">
        <v>0</v>
      </c>
      <c r="L291">
        <v>293</v>
      </c>
      <c r="M291">
        <v>586</v>
      </c>
      <c r="N291">
        <v>0</v>
      </c>
      <c r="O291">
        <v>-168</v>
      </c>
      <c r="P291">
        <v>-168</v>
      </c>
      <c r="Q291">
        <f t="shared" si="24"/>
        <v>2024</v>
      </c>
      <c r="R291">
        <f t="shared" si="25"/>
        <v>3</v>
      </c>
      <c r="S291" s="4">
        <f t="shared" si="26"/>
        <v>-178</v>
      </c>
      <c r="T291">
        <f t="shared" si="28"/>
        <v>24</v>
      </c>
      <c r="U291" s="4">
        <f t="shared" si="27"/>
        <v>-4272</v>
      </c>
      <c r="V291" s="4">
        <f t="shared" si="29"/>
        <v>703660</v>
      </c>
    </row>
    <row r="292" spans="1:22" x14ac:dyDescent="0.25">
      <c r="A292" s="1">
        <v>304</v>
      </c>
      <c r="B292" s="2">
        <v>45366</v>
      </c>
      <c r="C292">
        <v>0</v>
      </c>
      <c r="D292">
        <v>92042</v>
      </c>
      <c r="E292">
        <v>93049</v>
      </c>
      <c r="F292">
        <v>91869</v>
      </c>
      <c r="G292">
        <v>92860</v>
      </c>
      <c r="H292">
        <v>728532</v>
      </c>
      <c r="I292">
        <v>875.43</v>
      </c>
      <c r="J292">
        <v>1</v>
      </c>
      <c r="K292">
        <v>1</v>
      </c>
      <c r="L292">
        <v>284</v>
      </c>
      <c r="M292">
        <v>568</v>
      </c>
      <c r="N292">
        <v>568</v>
      </c>
      <c r="O292">
        <v>0</v>
      </c>
      <c r="P292">
        <v>568</v>
      </c>
      <c r="Q292">
        <f t="shared" si="24"/>
        <v>2024</v>
      </c>
      <c r="R292">
        <f t="shared" si="25"/>
        <v>3</v>
      </c>
      <c r="S292" s="4">
        <f t="shared" si="26"/>
        <v>558</v>
      </c>
      <c r="T292">
        <f t="shared" si="28"/>
        <v>24</v>
      </c>
      <c r="U292" s="4">
        <f t="shared" si="27"/>
        <v>13392</v>
      </c>
      <c r="V292" s="4">
        <f t="shared" si="29"/>
        <v>717052</v>
      </c>
    </row>
    <row r="293" spans="1:22" x14ac:dyDescent="0.25">
      <c r="A293" s="1">
        <v>305</v>
      </c>
      <c r="B293" s="2">
        <v>45369</v>
      </c>
      <c r="C293">
        <v>0</v>
      </c>
      <c r="D293">
        <v>92933</v>
      </c>
      <c r="E293">
        <v>93000</v>
      </c>
      <c r="F293">
        <v>91456</v>
      </c>
      <c r="G293">
        <v>92037</v>
      </c>
      <c r="H293">
        <v>883903</v>
      </c>
      <c r="I293">
        <v>923.19</v>
      </c>
      <c r="J293">
        <v>0</v>
      </c>
      <c r="K293">
        <v>1</v>
      </c>
      <c r="L293">
        <v>292</v>
      </c>
      <c r="M293">
        <v>584</v>
      </c>
      <c r="N293">
        <v>292</v>
      </c>
      <c r="O293">
        <v>0</v>
      </c>
      <c r="P293">
        <v>292</v>
      </c>
      <c r="Q293">
        <f t="shared" si="24"/>
        <v>2024</v>
      </c>
      <c r="R293">
        <f t="shared" si="25"/>
        <v>3</v>
      </c>
      <c r="S293" s="4">
        <f t="shared" si="26"/>
        <v>282</v>
      </c>
      <c r="T293">
        <f t="shared" si="28"/>
        <v>24</v>
      </c>
      <c r="U293" s="4">
        <f t="shared" si="27"/>
        <v>6768</v>
      </c>
      <c r="V293" s="4">
        <f t="shared" si="29"/>
        <v>723820</v>
      </c>
    </row>
    <row r="294" spans="1:22" x14ac:dyDescent="0.25">
      <c r="A294" s="1">
        <v>306</v>
      </c>
      <c r="B294" s="2">
        <v>45370</v>
      </c>
      <c r="C294">
        <v>0</v>
      </c>
      <c r="D294">
        <v>92042</v>
      </c>
      <c r="E294">
        <v>92943</v>
      </c>
      <c r="F294">
        <v>91888</v>
      </c>
      <c r="G294">
        <v>92702</v>
      </c>
      <c r="H294">
        <v>757951</v>
      </c>
      <c r="I294">
        <v>932.6</v>
      </c>
      <c r="J294">
        <v>1</v>
      </c>
      <c r="K294">
        <v>0</v>
      </c>
      <c r="L294">
        <v>308</v>
      </c>
      <c r="M294">
        <v>615</v>
      </c>
      <c r="N294">
        <v>0</v>
      </c>
      <c r="O294">
        <v>308</v>
      </c>
      <c r="P294">
        <v>308</v>
      </c>
      <c r="Q294">
        <f t="shared" si="24"/>
        <v>2024</v>
      </c>
      <c r="R294">
        <f t="shared" si="25"/>
        <v>3</v>
      </c>
      <c r="S294" s="4">
        <f t="shared" si="26"/>
        <v>298</v>
      </c>
      <c r="T294">
        <f t="shared" si="28"/>
        <v>23</v>
      </c>
      <c r="U294" s="4">
        <f t="shared" si="27"/>
        <v>6854</v>
      </c>
      <c r="V294" s="4">
        <f t="shared" si="29"/>
        <v>730674</v>
      </c>
    </row>
    <row r="295" spans="1:22" x14ac:dyDescent="0.25">
      <c r="A295" s="1">
        <v>307</v>
      </c>
      <c r="B295" s="2">
        <v>45371</v>
      </c>
      <c r="C295">
        <v>0</v>
      </c>
      <c r="D295">
        <v>94848</v>
      </c>
      <c r="E295">
        <v>95251</v>
      </c>
      <c r="F295">
        <v>94578</v>
      </c>
      <c r="G295">
        <v>94900</v>
      </c>
      <c r="H295">
        <v>534511</v>
      </c>
      <c r="I295">
        <v>1048.06</v>
      </c>
      <c r="J295">
        <v>1</v>
      </c>
      <c r="K295">
        <v>1</v>
      </c>
      <c r="L295">
        <v>311</v>
      </c>
      <c r="M295">
        <v>622</v>
      </c>
      <c r="N295">
        <v>40</v>
      </c>
      <c r="O295">
        <v>0</v>
      </c>
      <c r="P295">
        <v>40</v>
      </c>
      <c r="Q295">
        <f t="shared" si="24"/>
        <v>2024</v>
      </c>
      <c r="R295">
        <f t="shared" si="25"/>
        <v>3</v>
      </c>
      <c r="S295" s="4">
        <f t="shared" si="26"/>
        <v>30</v>
      </c>
      <c r="T295">
        <f t="shared" si="28"/>
        <v>23</v>
      </c>
      <c r="U295" s="4">
        <f t="shared" si="27"/>
        <v>690</v>
      </c>
      <c r="V295" s="4">
        <f t="shared" si="29"/>
        <v>731364</v>
      </c>
    </row>
    <row r="296" spans="1:22" x14ac:dyDescent="0.25">
      <c r="A296" s="1">
        <v>308</v>
      </c>
      <c r="B296" s="2">
        <v>45372</v>
      </c>
      <c r="C296">
        <v>0</v>
      </c>
      <c r="D296">
        <v>94817</v>
      </c>
      <c r="E296">
        <v>95113</v>
      </c>
      <c r="F296">
        <v>93901</v>
      </c>
      <c r="G296">
        <v>94597</v>
      </c>
      <c r="H296">
        <v>1099740</v>
      </c>
      <c r="I296">
        <v>1059.77</v>
      </c>
      <c r="J296">
        <v>0</v>
      </c>
      <c r="K296">
        <v>1</v>
      </c>
      <c r="L296">
        <v>349</v>
      </c>
      <c r="M296">
        <v>699</v>
      </c>
      <c r="N296">
        <v>-225</v>
      </c>
      <c r="O296">
        <v>0</v>
      </c>
      <c r="P296">
        <v>-225</v>
      </c>
      <c r="Q296">
        <f t="shared" si="24"/>
        <v>2024</v>
      </c>
      <c r="R296">
        <f t="shared" si="25"/>
        <v>3</v>
      </c>
      <c r="S296" s="4">
        <f t="shared" si="26"/>
        <v>-235</v>
      </c>
      <c r="T296">
        <f t="shared" si="28"/>
        <v>20</v>
      </c>
      <c r="U296" s="4">
        <f t="shared" si="27"/>
        <v>-4700</v>
      </c>
      <c r="V296" s="4">
        <f t="shared" si="29"/>
        <v>726664</v>
      </c>
    </row>
    <row r="297" spans="1:22" x14ac:dyDescent="0.25">
      <c r="A297" s="1">
        <v>309</v>
      </c>
      <c r="B297" s="2">
        <v>45373</v>
      </c>
      <c r="C297">
        <v>0</v>
      </c>
      <c r="D297">
        <v>94707</v>
      </c>
      <c r="E297">
        <v>96085</v>
      </c>
      <c r="F297">
        <v>94584</v>
      </c>
      <c r="G297">
        <v>95705</v>
      </c>
      <c r="H297">
        <v>928730</v>
      </c>
      <c r="I297">
        <v>1091.29</v>
      </c>
      <c r="J297">
        <v>1</v>
      </c>
      <c r="K297">
        <v>0</v>
      </c>
      <c r="L297">
        <v>353</v>
      </c>
      <c r="M297">
        <v>707</v>
      </c>
      <c r="N297">
        <v>0</v>
      </c>
      <c r="O297">
        <v>353</v>
      </c>
      <c r="P297">
        <v>353</v>
      </c>
      <c r="Q297">
        <f t="shared" si="24"/>
        <v>2024</v>
      </c>
      <c r="R297">
        <f t="shared" si="25"/>
        <v>3</v>
      </c>
      <c r="S297" s="4">
        <f t="shared" si="26"/>
        <v>343</v>
      </c>
      <c r="T297">
        <f t="shared" si="28"/>
        <v>20</v>
      </c>
      <c r="U297" s="4">
        <f t="shared" si="27"/>
        <v>6860</v>
      </c>
      <c r="V297" s="4">
        <f t="shared" si="29"/>
        <v>733524</v>
      </c>
    </row>
    <row r="298" spans="1:22" x14ac:dyDescent="0.25">
      <c r="A298" s="1">
        <v>310</v>
      </c>
      <c r="B298" s="2">
        <v>45376</v>
      </c>
      <c r="C298">
        <v>0</v>
      </c>
      <c r="D298">
        <v>95667</v>
      </c>
      <c r="E298">
        <v>95670</v>
      </c>
      <c r="F298">
        <v>94870</v>
      </c>
      <c r="G298">
        <v>95318</v>
      </c>
      <c r="H298">
        <v>802391</v>
      </c>
      <c r="I298">
        <v>1072.98</v>
      </c>
      <c r="J298">
        <v>0</v>
      </c>
      <c r="K298">
        <v>1</v>
      </c>
      <c r="L298">
        <v>364</v>
      </c>
      <c r="M298">
        <v>728</v>
      </c>
      <c r="N298">
        <v>-369</v>
      </c>
      <c r="O298">
        <v>0</v>
      </c>
      <c r="P298">
        <v>-369</v>
      </c>
      <c r="Q298">
        <f t="shared" si="24"/>
        <v>2024</v>
      </c>
      <c r="R298">
        <f t="shared" si="25"/>
        <v>3</v>
      </c>
      <c r="S298" s="4">
        <f t="shared" si="26"/>
        <v>-379</v>
      </c>
      <c r="T298">
        <f t="shared" si="28"/>
        <v>20</v>
      </c>
      <c r="U298" s="4">
        <f t="shared" si="27"/>
        <v>-7580</v>
      </c>
      <c r="V298" s="4">
        <f t="shared" si="29"/>
        <v>725944</v>
      </c>
    </row>
    <row r="299" spans="1:22" x14ac:dyDescent="0.25">
      <c r="A299" s="1">
        <v>311</v>
      </c>
      <c r="B299" s="2">
        <v>45377</v>
      </c>
      <c r="C299">
        <v>0</v>
      </c>
      <c r="D299">
        <v>95313</v>
      </c>
      <c r="E299">
        <v>95320</v>
      </c>
      <c r="F299">
        <v>94700</v>
      </c>
      <c r="G299">
        <v>95129</v>
      </c>
      <c r="H299">
        <v>602910</v>
      </c>
      <c r="I299">
        <v>1040.6199999999999</v>
      </c>
      <c r="J299">
        <v>0</v>
      </c>
      <c r="K299">
        <v>0</v>
      </c>
      <c r="L299">
        <v>358</v>
      </c>
      <c r="M299">
        <v>715</v>
      </c>
      <c r="N299">
        <v>0</v>
      </c>
      <c r="O299">
        <v>166</v>
      </c>
      <c r="P299">
        <v>166</v>
      </c>
      <c r="Q299">
        <f t="shared" si="24"/>
        <v>2024</v>
      </c>
      <c r="R299">
        <f t="shared" si="25"/>
        <v>3</v>
      </c>
      <c r="S299" s="4">
        <f t="shared" si="26"/>
        <v>156</v>
      </c>
      <c r="T299">
        <f t="shared" si="28"/>
        <v>20</v>
      </c>
      <c r="U299" s="4">
        <f t="shared" si="27"/>
        <v>3120</v>
      </c>
      <c r="V299" s="4">
        <f t="shared" si="29"/>
        <v>729064</v>
      </c>
    </row>
    <row r="300" spans="1:22" x14ac:dyDescent="0.25">
      <c r="A300" s="1">
        <v>312</v>
      </c>
      <c r="B300" s="2">
        <v>45378</v>
      </c>
      <c r="C300">
        <v>0</v>
      </c>
      <c r="D300">
        <v>95129</v>
      </c>
      <c r="E300">
        <v>95308</v>
      </c>
      <c r="F300">
        <v>94218</v>
      </c>
      <c r="G300">
        <v>94377</v>
      </c>
      <c r="H300">
        <v>927525</v>
      </c>
      <c r="I300">
        <v>1044.1500000000001</v>
      </c>
      <c r="J300">
        <v>0</v>
      </c>
      <c r="K300">
        <v>0</v>
      </c>
      <c r="L300">
        <v>347</v>
      </c>
      <c r="M300">
        <v>694</v>
      </c>
      <c r="N300">
        <v>0</v>
      </c>
      <c r="O300">
        <v>694</v>
      </c>
      <c r="P300">
        <v>694</v>
      </c>
      <c r="Q300">
        <f t="shared" si="24"/>
        <v>2024</v>
      </c>
      <c r="R300">
        <f t="shared" si="25"/>
        <v>3</v>
      </c>
      <c r="S300" s="4">
        <f t="shared" si="26"/>
        <v>684</v>
      </c>
      <c r="T300">
        <f t="shared" si="28"/>
        <v>21</v>
      </c>
      <c r="U300" s="4">
        <f t="shared" si="27"/>
        <v>14364</v>
      </c>
      <c r="V300" s="4">
        <f t="shared" si="29"/>
        <v>743428</v>
      </c>
    </row>
    <row r="301" spans="1:22" x14ac:dyDescent="0.25">
      <c r="A301" s="1">
        <v>313</v>
      </c>
      <c r="B301" s="2">
        <v>45379</v>
      </c>
      <c r="C301">
        <v>0</v>
      </c>
      <c r="D301">
        <v>94374</v>
      </c>
      <c r="E301">
        <v>94899</v>
      </c>
      <c r="F301">
        <v>94308</v>
      </c>
      <c r="G301">
        <v>94712</v>
      </c>
      <c r="H301">
        <v>733428</v>
      </c>
      <c r="I301">
        <v>1011.78</v>
      </c>
      <c r="J301">
        <v>1</v>
      </c>
      <c r="K301">
        <v>0</v>
      </c>
      <c r="L301">
        <v>348</v>
      </c>
      <c r="M301">
        <v>696</v>
      </c>
      <c r="N301">
        <v>0</v>
      </c>
      <c r="O301">
        <v>-381</v>
      </c>
      <c r="P301">
        <v>-381</v>
      </c>
      <c r="Q301">
        <f t="shared" si="24"/>
        <v>2024</v>
      </c>
      <c r="R301">
        <f t="shared" si="25"/>
        <v>3</v>
      </c>
      <c r="S301" s="4">
        <f t="shared" si="26"/>
        <v>-391</v>
      </c>
      <c r="T301">
        <f t="shared" si="28"/>
        <v>21</v>
      </c>
      <c r="U301" s="4">
        <f t="shared" si="27"/>
        <v>-8211</v>
      </c>
      <c r="V301" s="4">
        <f t="shared" si="29"/>
        <v>735217</v>
      </c>
    </row>
    <row r="302" spans="1:22" x14ac:dyDescent="0.25">
      <c r="A302" s="1">
        <v>314</v>
      </c>
      <c r="B302" s="2">
        <v>45380</v>
      </c>
      <c r="C302">
        <v>0</v>
      </c>
      <c r="D302">
        <v>94826</v>
      </c>
      <c r="E302">
        <v>94844</v>
      </c>
      <c r="F302">
        <v>94050</v>
      </c>
      <c r="G302">
        <v>94513</v>
      </c>
      <c r="H302">
        <v>1080809</v>
      </c>
      <c r="I302">
        <v>996.23</v>
      </c>
      <c r="J302">
        <v>0</v>
      </c>
      <c r="K302">
        <v>1</v>
      </c>
      <c r="L302">
        <v>337</v>
      </c>
      <c r="M302">
        <v>675</v>
      </c>
      <c r="N302">
        <v>337</v>
      </c>
      <c r="O302">
        <v>0</v>
      </c>
      <c r="P302">
        <v>337</v>
      </c>
      <c r="Q302">
        <f t="shared" si="24"/>
        <v>2024</v>
      </c>
      <c r="R302">
        <f t="shared" si="25"/>
        <v>3</v>
      </c>
      <c r="S302" s="4">
        <f t="shared" si="26"/>
        <v>327</v>
      </c>
      <c r="T302">
        <f t="shared" si="28"/>
        <v>21</v>
      </c>
      <c r="U302" s="4">
        <f t="shared" si="27"/>
        <v>6867</v>
      </c>
      <c r="V302" s="4">
        <f t="shared" si="29"/>
        <v>742084</v>
      </c>
    </row>
    <row r="303" spans="1:22" x14ac:dyDescent="0.25">
      <c r="A303" s="1">
        <v>315</v>
      </c>
      <c r="B303" s="2">
        <v>45383</v>
      </c>
      <c r="C303">
        <v>0</v>
      </c>
      <c r="D303">
        <v>94500</v>
      </c>
      <c r="E303">
        <v>94838</v>
      </c>
      <c r="F303">
        <v>94255</v>
      </c>
      <c r="G303">
        <v>94724</v>
      </c>
      <c r="H303">
        <v>623515</v>
      </c>
      <c r="I303">
        <v>966.71</v>
      </c>
      <c r="J303">
        <v>1</v>
      </c>
      <c r="K303">
        <v>0</v>
      </c>
      <c r="L303">
        <v>332</v>
      </c>
      <c r="M303">
        <v>664</v>
      </c>
      <c r="N303">
        <v>0</v>
      </c>
      <c r="O303">
        <v>-260</v>
      </c>
      <c r="P303">
        <v>-260</v>
      </c>
      <c r="Q303">
        <f t="shared" si="24"/>
        <v>2024</v>
      </c>
      <c r="R303">
        <f t="shared" si="25"/>
        <v>4</v>
      </c>
      <c r="S303" s="4">
        <f t="shared" si="26"/>
        <v>-270</v>
      </c>
      <c r="T303">
        <f t="shared" si="28"/>
        <v>22</v>
      </c>
      <c r="U303" s="4">
        <f t="shared" si="27"/>
        <v>-5940</v>
      </c>
      <c r="V303" s="4">
        <f t="shared" si="29"/>
        <v>736144</v>
      </c>
    </row>
    <row r="304" spans="1:22" x14ac:dyDescent="0.25">
      <c r="A304" s="1">
        <v>316</v>
      </c>
      <c r="B304" s="2">
        <v>45384</v>
      </c>
      <c r="C304">
        <v>0</v>
      </c>
      <c r="D304">
        <v>94777</v>
      </c>
      <c r="E304">
        <v>95188</v>
      </c>
      <c r="F304">
        <v>94565</v>
      </c>
      <c r="G304">
        <v>94797</v>
      </c>
      <c r="H304">
        <v>660272</v>
      </c>
      <c r="I304">
        <v>942.16</v>
      </c>
      <c r="J304">
        <v>1</v>
      </c>
      <c r="K304">
        <v>1</v>
      </c>
      <c r="L304">
        <v>322</v>
      </c>
      <c r="M304">
        <v>644</v>
      </c>
      <c r="N304">
        <v>11</v>
      </c>
      <c r="O304">
        <v>0</v>
      </c>
      <c r="P304">
        <v>11</v>
      </c>
      <c r="Q304">
        <f t="shared" si="24"/>
        <v>2024</v>
      </c>
      <c r="R304">
        <f t="shared" si="25"/>
        <v>4</v>
      </c>
      <c r="S304" s="4">
        <f t="shared" si="26"/>
        <v>1</v>
      </c>
      <c r="T304">
        <f t="shared" si="28"/>
        <v>22</v>
      </c>
      <c r="U304" s="4">
        <f t="shared" si="27"/>
        <v>22</v>
      </c>
      <c r="V304" s="4">
        <f t="shared" si="29"/>
        <v>736166</v>
      </c>
    </row>
    <row r="305" spans="1:22" x14ac:dyDescent="0.25">
      <c r="A305" s="1">
        <v>317</v>
      </c>
      <c r="B305" s="2">
        <v>45385</v>
      </c>
      <c r="C305">
        <v>0</v>
      </c>
      <c r="D305">
        <v>94790</v>
      </c>
      <c r="E305">
        <v>94990</v>
      </c>
      <c r="F305">
        <v>94207</v>
      </c>
      <c r="G305">
        <v>94631</v>
      </c>
      <c r="H305">
        <v>695276</v>
      </c>
      <c r="I305">
        <v>930.79</v>
      </c>
      <c r="J305">
        <v>0</v>
      </c>
      <c r="K305">
        <v>1</v>
      </c>
      <c r="L305">
        <v>314</v>
      </c>
      <c r="M305">
        <v>628</v>
      </c>
      <c r="N305">
        <v>-126</v>
      </c>
      <c r="O305">
        <v>0</v>
      </c>
      <c r="P305">
        <v>-126</v>
      </c>
      <c r="Q305">
        <f t="shared" si="24"/>
        <v>2024</v>
      </c>
      <c r="R305">
        <f t="shared" si="25"/>
        <v>4</v>
      </c>
      <c r="S305" s="4">
        <f t="shared" si="26"/>
        <v>-136</v>
      </c>
      <c r="T305">
        <f t="shared" si="28"/>
        <v>23</v>
      </c>
      <c r="U305" s="4">
        <f t="shared" si="27"/>
        <v>-3128</v>
      </c>
      <c r="V305" s="4">
        <f t="shared" si="29"/>
        <v>733038</v>
      </c>
    </row>
    <row r="306" spans="1:22" x14ac:dyDescent="0.25">
      <c r="A306" s="1">
        <v>318</v>
      </c>
      <c r="B306" s="2">
        <v>45386</v>
      </c>
      <c r="C306">
        <v>0</v>
      </c>
      <c r="D306">
        <v>94631</v>
      </c>
      <c r="E306">
        <v>94737</v>
      </c>
      <c r="F306">
        <v>94320</v>
      </c>
      <c r="G306">
        <v>94445</v>
      </c>
      <c r="H306">
        <v>515033</v>
      </c>
      <c r="I306">
        <v>894.09</v>
      </c>
      <c r="J306">
        <v>0</v>
      </c>
      <c r="K306">
        <v>0</v>
      </c>
      <c r="L306">
        <v>310</v>
      </c>
      <c r="M306">
        <v>621</v>
      </c>
      <c r="N306">
        <v>0</v>
      </c>
      <c r="O306">
        <v>131</v>
      </c>
      <c r="P306">
        <v>131</v>
      </c>
      <c r="Q306">
        <f t="shared" si="24"/>
        <v>2024</v>
      </c>
      <c r="R306">
        <f t="shared" si="25"/>
        <v>4</v>
      </c>
      <c r="S306" s="4">
        <f t="shared" si="26"/>
        <v>121</v>
      </c>
      <c r="T306">
        <f t="shared" si="28"/>
        <v>23</v>
      </c>
      <c r="U306" s="4">
        <f t="shared" si="27"/>
        <v>2783</v>
      </c>
      <c r="V306" s="4">
        <f t="shared" si="29"/>
        <v>735821</v>
      </c>
    </row>
    <row r="307" spans="1:22" x14ac:dyDescent="0.25">
      <c r="A307" s="1">
        <v>319</v>
      </c>
      <c r="B307" s="2">
        <v>45387</v>
      </c>
      <c r="C307">
        <v>0</v>
      </c>
      <c r="D307">
        <v>94476</v>
      </c>
      <c r="E307">
        <v>94991</v>
      </c>
      <c r="F307">
        <v>94475</v>
      </c>
      <c r="G307">
        <v>94669</v>
      </c>
      <c r="H307">
        <v>596669</v>
      </c>
      <c r="I307">
        <v>869.23</v>
      </c>
      <c r="J307">
        <v>1</v>
      </c>
      <c r="K307">
        <v>0</v>
      </c>
      <c r="L307">
        <v>298</v>
      </c>
      <c r="M307">
        <v>596</v>
      </c>
      <c r="N307">
        <v>0</v>
      </c>
      <c r="O307">
        <v>-196</v>
      </c>
      <c r="P307">
        <v>-196</v>
      </c>
      <c r="Q307">
        <f t="shared" si="24"/>
        <v>2024</v>
      </c>
      <c r="R307">
        <f t="shared" si="25"/>
        <v>4</v>
      </c>
      <c r="S307" s="4">
        <f t="shared" si="26"/>
        <v>-206</v>
      </c>
      <c r="T307">
        <f t="shared" si="28"/>
        <v>24</v>
      </c>
      <c r="U307" s="4">
        <f t="shared" si="27"/>
        <v>-4944</v>
      </c>
      <c r="V307" s="4">
        <f t="shared" si="29"/>
        <v>730877</v>
      </c>
    </row>
    <row r="308" spans="1:22" x14ac:dyDescent="0.25">
      <c r="A308" s="1">
        <v>320</v>
      </c>
      <c r="B308" s="2">
        <v>45390</v>
      </c>
      <c r="C308">
        <v>0</v>
      </c>
      <c r="D308">
        <v>94676</v>
      </c>
      <c r="E308">
        <v>94923</v>
      </c>
      <c r="F308">
        <v>94552</v>
      </c>
      <c r="G308">
        <v>94814</v>
      </c>
      <c r="H308">
        <v>482746</v>
      </c>
      <c r="I308">
        <v>833.64</v>
      </c>
      <c r="J308">
        <v>1</v>
      </c>
      <c r="K308">
        <v>1</v>
      </c>
      <c r="L308">
        <v>290</v>
      </c>
      <c r="M308">
        <v>579</v>
      </c>
      <c r="N308">
        <v>110</v>
      </c>
      <c r="O308">
        <v>0</v>
      </c>
      <c r="P308">
        <v>110</v>
      </c>
      <c r="Q308">
        <f t="shared" si="24"/>
        <v>2024</v>
      </c>
      <c r="R308">
        <f t="shared" si="25"/>
        <v>4</v>
      </c>
      <c r="S308" s="4">
        <f t="shared" si="26"/>
        <v>100</v>
      </c>
      <c r="T308">
        <f t="shared" si="28"/>
        <v>25</v>
      </c>
      <c r="U308" s="4">
        <f t="shared" si="27"/>
        <v>2500</v>
      </c>
      <c r="V308" s="4">
        <f t="shared" si="29"/>
        <v>733377</v>
      </c>
    </row>
    <row r="309" spans="1:22" x14ac:dyDescent="0.25">
      <c r="A309" s="1">
        <v>321</v>
      </c>
      <c r="B309" s="2">
        <v>45391</v>
      </c>
      <c r="C309">
        <v>0</v>
      </c>
      <c r="D309">
        <v>94815</v>
      </c>
      <c r="E309">
        <v>95235</v>
      </c>
      <c r="F309">
        <v>94767</v>
      </c>
      <c r="G309">
        <v>95125</v>
      </c>
      <c r="H309">
        <v>466137</v>
      </c>
      <c r="I309">
        <v>807.52</v>
      </c>
      <c r="J309">
        <v>1</v>
      </c>
      <c r="K309">
        <v>1</v>
      </c>
      <c r="L309">
        <v>278</v>
      </c>
      <c r="M309">
        <v>556</v>
      </c>
      <c r="N309">
        <v>355</v>
      </c>
      <c r="O309">
        <v>0</v>
      </c>
      <c r="P309">
        <v>355</v>
      </c>
      <c r="Q309">
        <f t="shared" si="24"/>
        <v>2024</v>
      </c>
      <c r="R309">
        <f t="shared" si="25"/>
        <v>4</v>
      </c>
      <c r="S309" s="4">
        <f t="shared" si="26"/>
        <v>345</v>
      </c>
      <c r="T309">
        <f t="shared" si="28"/>
        <v>26</v>
      </c>
      <c r="U309" s="4">
        <f t="shared" si="27"/>
        <v>8970</v>
      </c>
      <c r="V309" s="4">
        <f t="shared" si="29"/>
        <v>742347</v>
      </c>
    </row>
    <row r="310" spans="1:22" x14ac:dyDescent="0.25">
      <c r="A310" s="1">
        <v>322</v>
      </c>
      <c r="B310" s="2">
        <v>45392</v>
      </c>
      <c r="C310">
        <v>0</v>
      </c>
      <c r="D310">
        <v>95142</v>
      </c>
      <c r="E310">
        <v>95858</v>
      </c>
      <c r="F310">
        <v>95077</v>
      </c>
      <c r="G310">
        <v>95680</v>
      </c>
      <c r="H310">
        <v>680215</v>
      </c>
      <c r="I310">
        <v>805.63</v>
      </c>
      <c r="J310">
        <v>1</v>
      </c>
      <c r="K310">
        <v>1</v>
      </c>
      <c r="L310">
        <v>269</v>
      </c>
      <c r="M310">
        <v>538</v>
      </c>
      <c r="N310">
        <v>538</v>
      </c>
      <c r="O310">
        <v>0</v>
      </c>
      <c r="P310">
        <v>538</v>
      </c>
      <c r="Q310">
        <f t="shared" si="24"/>
        <v>2024</v>
      </c>
      <c r="R310">
        <f t="shared" si="25"/>
        <v>4</v>
      </c>
      <c r="S310" s="4">
        <f t="shared" si="26"/>
        <v>528</v>
      </c>
      <c r="T310">
        <f t="shared" si="28"/>
        <v>27</v>
      </c>
      <c r="U310" s="4">
        <f t="shared" si="27"/>
        <v>14256</v>
      </c>
      <c r="V310" s="4">
        <f t="shared" si="29"/>
        <v>756603</v>
      </c>
    </row>
    <row r="311" spans="1:22" x14ac:dyDescent="0.25">
      <c r="A311" s="1">
        <v>323</v>
      </c>
      <c r="B311" s="2">
        <v>45393</v>
      </c>
      <c r="C311">
        <v>0</v>
      </c>
      <c r="D311">
        <v>95671</v>
      </c>
      <c r="E311">
        <v>96131</v>
      </c>
      <c r="F311">
        <v>95057</v>
      </c>
      <c r="G311">
        <v>95287</v>
      </c>
      <c r="H311">
        <v>766175</v>
      </c>
      <c r="I311">
        <v>824.8</v>
      </c>
      <c r="J311">
        <v>0</v>
      </c>
      <c r="K311">
        <v>1</v>
      </c>
      <c r="L311">
        <v>269</v>
      </c>
      <c r="M311">
        <v>537</v>
      </c>
      <c r="N311">
        <v>269</v>
      </c>
      <c r="O311">
        <v>0</v>
      </c>
      <c r="P311">
        <v>269</v>
      </c>
      <c r="Q311">
        <f t="shared" si="24"/>
        <v>2024</v>
      </c>
      <c r="R311">
        <f t="shared" si="25"/>
        <v>4</v>
      </c>
      <c r="S311" s="4">
        <f t="shared" si="26"/>
        <v>259</v>
      </c>
      <c r="T311">
        <f t="shared" si="28"/>
        <v>28</v>
      </c>
      <c r="U311" s="4">
        <f t="shared" si="27"/>
        <v>7252</v>
      </c>
      <c r="V311" s="4">
        <f t="shared" si="29"/>
        <v>763855</v>
      </c>
    </row>
    <row r="312" spans="1:22" x14ac:dyDescent="0.25">
      <c r="A312" s="1">
        <v>324</v>
      </c>
      <c r="B312" s="2">
        <v>45394</v>
      </c>
      <c r="C312">
        <v>0</v>
      </c>
      <c r="D312">
        <v>95356</v>
      </c>
      <c r="E312">
        <v>95600</v>
      </c>
      <c r="F312">
        <v>95000</v>
      </c>
      <c r="G312">
        <v>95140</v>
      </c>
      <c r="H312">
        <v>604041</v>
      </c>
      <c r="I312">
        <v>808.74</v>
      </c>
      <c r="J312">
        <v>0</v>
      </c>
      <c r="K312">
        <v>0</v>
      </c>
      <c r="L312">
        <v>275</v>
      </c>
      <c r="M312">
        <v>550</v>
      </c>
      <c r="N312">
        <v>0</v>
      </c>
      <c r="O312">
        <v>241</v>
      </c>
      <c r="P312">
        <v>241</v>
      </c>
      <c r="Q312">
        <f t="shared" si="24"/>
        <v>2024</v>
      </c>
      <c r="R312">
        <f t="shared" si="25"/>
        <v>4</v>
      </c>
      <c r="S312" s="4">
        <f t="shared" si="26"/>
        <v>231</v>
      </c>
      <c r="T312">
        <f t="shared" si="28"/>
        <v>27</v>
      </c>
      <c r="U312" s="4">
        <f t="shared" si="27"/>
        <v>6237</v>
      </c>
      <c r="V312" s="4">
        <f t="shared" si="29"/>
        <v>770092</v>
      </c>
    </row>
    <row r="313" spans="1:22" x14ac:dyDescent="0.25">
      <c r="A313" s="1">
        <v>325</v>
      </c>
      <c r="B313" s="2">
        <v>45397</v>
      </c>
      <c r="C313">
        <v>0</v>
      </c>
      <c r="D313">
        <v>95123</v>
      </c>
      <c r="E313">
        <v>95499</v>
      </c>
      <c r="F313">
        <v>95001</v>
      </c>
      <c r="G313">
        <v>95396</v>
      </c>
      <c r="H313">
        <v>423914</v>
      </c>
      <c r="I313">
        <v>786.55</v>
      </c>
      <c r="J313">
        <v>1</v>
      </c>
      <c r="K313">
        <v>0</v>
      </c>
      <c r="L313">
        <v>270</v>
      </c>
      <c r="M313">
        <v>539</v>
      </c>
      <c r="N313">
        <v>0</v>
      </c>
      <c r="O313">
        <v>-326</v>
      </c>
      <c r="P313">
        <v>-326</v>
      </c>
      <c r="Q313">
        <f t="shared" si="24"/>
        <v>2024</v>
      </c>
      <c r="R313">
        <f t="shared" si="25"/>
        <v>4</v>
      </c>
      <c r="S313" s="4">
        <f t="shared" si="26"/>
        <v>-336</v>
      </c>
      <c r="T313">
        <f t="shared" si="28"/>
        <v>28</v>
      </c>
      <c r="U313" s="4">
        <f t="shared" si="27"/>
        <v>-9408</v>
      </c>
      <c r="V313" s="4">
        <f t="shared" si="29"/>
        <v>760684</v>
      </c>
    </row>
    <row r="314" spans="1:22" x14ac:dyDescent="0.25">
      <c r="A314" s="1">
        <v>326</v>
      </c>
      <c r="B314" s="2">
        <v>45398</v>
      </c>
      <c r="C314">
        <v>0</v>
      </c>
      <c r="D314">
        <v>95543</v>
      </c>
      <c r="E314">
        <v>96300</v>
      </c>
      <c r="F314">
        <v>95465</v>
      </c>
      <c r="G314">
        <v>96155</v>
      </c>
      <c r="H314">
        <v>782172</v>
      </c>
      <c r="I314">
        <v>794.94</v>
      </c>
      <c r="J314">
        <v>1</v>
      </c>
      <c r="K314">
        <v>1</v>
      </c>
      <c r="L314">
        <v>262</v>
      </c>
      <c r="M314">
        <v>524</v>
      </c>
      <c r="N314">
        <v>524</v>
      </c>
      <c r="O314">
        <v>0</v>
      </c>
      <c r="P314">
        <v>524</v>
      </c>
      <c r="Q314">
        <f t="shared" si="24"/>
        <v>2024</v>
      </c>
      <c r="R314">
        <f t="shared" si="25"/>
        <v>4</v>
      </c>
      <c r="S314" s="4">
        <f t="shared" si="26"/>
        <v>514</v>
      </c>
      <c r="T314">
        <f t="shared" si="28"/>
        <v>29</v>
      </c>
      <c r="U314" s="4">
        <f t="shared" si="27"/>
        <v>14906</v>
      </c>
      <c r="V314" s="4">
        <f t="shared" si="29"/>
        <v>775590</v>
      </c>
    </row>
    <row r="315" spans="1:22" x14ac:dyDescent="0.25">
      <c r="A315" s="1">
        <v>327</v>
      </c>
      <c r="B315" s="2">
        <v>45399</v>
      </c>
      <c r="C315">
        <v>0</v>
      </c>
      <c r="D315">
        <v>96180</v>
      </c>
      <c r="E315">
        <v>96279</v>
      </c>
      <c r="F315">
        <v>95682</v>
      </c>
      <c r="G315">
        <v>95855</v>
      </c>
      <c r="H315">
        <v>573839</v>
      </c>
      <c r="I315">
        <v>780.8</v>
      </c>
      <c r="J315">
        <v>0</v>
      </c>
      <c r="K315">
        <v>1</v>
      </c>
      <c r="L315">
        <v>265</v>
      </c>
      <c r="M315">
        <v>530</v>
      </c>
      <c r="N315">
        <v>265</v>
      </c>
      <c r="O315">
        <v>0</v>
      </c>
      <c r="P315">
        <v>265</v>
      </c>
      <c r="Q315">
        <f t="shared" si="24"/>
        <v>2024</v>
      </c>
      <c r="R315">
        <f t="shared" si="25"/>
        <v>4</v>
      </c>
      <c r="S315" s="4">
        <f t="shared" si="26"/>
        <v>255</v>
      </c>
      <c r="T315">
        <f t="shared" si="28"/>
        <v>29</v>
      </c>
      <c r="U315" s="4">
        <f t="shared" si="27"/>
        <v>7395</v>
      </c>
      <c r="V315" s="4">
        <f t="shared" si="29"/>
        <v>782985</v>
      </c>
    </row>
    <row r="316" spans="1:22" x14ac:dyDescent="0.25">
      <c r="A316" s="1">
        <v>328</v>
      </c>
      <c r="B316" s="2">
        <v>45400</v>
      </c>
      <c r="C316">
        <v>0</v>
      </c>
      <c r="D316">
        <v>95864</v>
      </c>
      <c r="E316">
        <v>96050</v>
      </c>
      <c r="F316">
        <v>95059</v>
      </c>
      <c r="G316">
        <v>95144</v>
      </c>
      <c r="H316">
        <v>781680</v>
      </c>
      <c r="I316">
        <v>795.81</v>
      </c>
      <c r="J316">
        <v>0</v>
      </c>
      <c r="K316">
        <v>0</v>
      </c>
      <c r="L316">
        <v>260</v>
      </c>
      <c r="M316">
        <v>521</v>
      </c>
      <c r="N316">
        <v>0</v>
      </c>
      <c r="O316">
        <v>521</v>
      </c>
      <c r="P316">
        <v>521</v>
      </c>
      <c r="Q316">
        <f t="shared" si="24"/>
        <v>2024</v>
      </c>
      <c r="R316">
        <f t="shared" si="25"/>
        <v>4</v>
      </c>
      <c r="S316" s="4">
        <f t="shared" si="26"/>
        <v>511</v>
      </c>
      <c r="T316">
        <f t="shared" si="28"/>
        <v>30</v>
      </c>
      <c r="U316" s="4">
        <f t="shared" si="27"/>
        <v>15330</v>
      </c>
      <c r="V316" s="4">
        <f t="shared" si="29"/>
        <v>798315</v>
      </c>
    </row>
    <row r="317" spans="1:22" x14ac:dyDescent="0.25">
      <c r="A317" s="1">
        <v>329</v>
      </c>
      <c r="B317" s="2">
        <v>45401</v>
      </c>
      <c r="C317">
        <v>0</v>
      </c>
      <c r="D317">
        <v>95141</v>
      </c>
      <c r="E317">
        <v>95326</v>
      </c>
      <c r="F317">
        <v>94405</v>
      </c>
      <c r="G317">
        <v>94610</v>
      </c>
      <c r="H317">
        <v>709720</v>
      </c>
      <c r="I317">
        <v>804.75</v>
      </c>
      <c r="J317">
        <v>0</v>
      </c>
      <c r="K317">
        <v>0</v>
      </c>
      <c r="L317">
        <v>265</v>
      </c>
      <c r="M317">
        <v>531</v>
      </c>
      <c r="N317">
        <v>0</v>
      </c>
      <c r="O317">
        <v>531</v>
      </c>
      <c r="P317">
        <v>531</v>
      </c>
      <c r="Q317">
        <f t="shared" si="24"/>
        <v>2024</v>
      </c>
      <c r="R317">
        <f t="shared" si="25"/>
        <v>4</v>
      </c>
      <c r="S317" s="4">
        <f t="shared" si="26"/>
        <v>521</v>
      </c>
      <c r="T317">
        <f t="shared" si="28"/>
        <v>30</v>
      </c>
      <c r="U317" s="4">
        <f t="shared" si="27"/>
        <v>15630</v>
      </c>
      <c r="V317" s="4">
        <f t="shared" si="29"/>
        <v>813945</v>
      </c>
    </row>
    <row r="318" spans="1:22" x14ac:dyDescent="0.25">
      <c r="A318" s="1">
        <v>330</v>
      </c>
      <c r="B318" s="2">
        <v>45404</v>
      </c>
      <c r="C318">
        <v>0</v>
      </c>
      <c r="D318">
        <v>94675</v>
      </c>
      <c r="E318">
        <v>94877</v>
      </c>
      <c r="F318">
        <v>94310</v>
      </c>
      <c r="G318">
        <v>94631</v>
      </c>
      <c r="H318">
        <v>464453</v>
      </c>
      <c r="I318">
        <v>787.77</v>
      </c>
      <c r="J318">
        <v>0</v>
      </c>
      <c r="K318">
        <v>0</v>
      </c>
      <c r="L318">
        <v>268</v>
      </c>
      <c r="M318">
        <v>536</v>
      </c>
      <c r="N318">
        <v>0</v>
      </c>
      <c r="O318">
        <v>32</v>
      </c>
      <c r="P318">
        <v>32</v>
      </c>
      <c r="Q318">
        <f t="shared" si="24"/>
        <v>2024</v>
      </c>
      <c r="R318">
        <f t="shared" si="25"/>
        <v>4</v>
      </c>
      <c r="S318" s="4">
        <f t="shared" si="26"/>
        <v>22</v>
      </c>
      <c r="T318">
        <f t="shared" si="28"/>
        <v>30</v>
      </c>
      <c r="U318" s="4">
        <f t="shared" si="27"/>
        <v>660</v>
      </c>
      <c r="V318" s="4">
        <f t="shared" si="29"/>
        <v>814605</v>
      </c>
    </row>
    <row r="319" spans="1:22" x14ac:dyDescent="0.25">
      <c r="A319" s="1">
        <v>331</v>
      </c>
      <c r="B319" s="2">
        <v>45405</v>
      </c>
      <c r="C319">
        <v>0</v>
      </c>
      <c r="D319">
        <v>94666</v>
      </c>
      <c r="E319">
        <v>94691</v>
      </c>
      <c r="F319">
        <v>94156</v>
      </c>
      <c r="G319">
        <v>94265</v>
      </c>
      <c r="H319">
        <v>475964</v>
      </c>
      <c r="I319">
        <v>769.72</v>
      </c>
      <c r="J319">
        <v>0</v>
      </c>
      <c r="K319">
        <v>0</v>
      </c>
      <c r="L319">
        <v>263</v>
      </c>
      <c r="M319">
        <v>525</v>
      </c>
      <c r="N319">
        <v>0</v>
      </c>
      <c r="O319">
        <v>380</v>
      </c>
      <c r="P319">
        <v>380</v>
      </c>
      <c r="Q319">
        <f t="shared" si="24"/>
        <v>2024</v>
      </c>
      <c r="R319">
        <f t="shared" si="25"/>
        <v>4</v>
      </c>
      <c r="S319" s="4">
        <f t="shared" si="26"/>
        <v>370</v>
      </c>
      <c r="T319">
        <f t="shared" si="28"/>
        <v>30</v>
      </c>
      <c r="U319" s="4">
        <f t="shared" si="27"/>
        <v>11100</v>
      </c>
      <c r="V319" s="4">
        <f t="shared" si="29"/>
        <v>825705</v>
      </c>
    </row>
    <row r="320" spans="1:22" x14ac:dyDescent="0.25">
      <c r="A320" s="1">
        <v>332</v>
      </c>
      <c r="B320" s="2">
        <v>45406</v>
      </c>
      <c r="C320">
        <v>0</v>
      </c>
      <c r="D320">
        <v>94263</v>
      </c>
      <c r="E320">
        <v>94266</v>
      </c>
      <c r="F320">
        <v>93665</v>
      </c>
      <c r="G320">
        <v>93726</v>
      </c>
      <c r="H320">
        <v>631913</v>
      </c>
      <c r="I320">
        <v>757.66</v>
      </c>
      <c r="J320">
        <v>0</v>
      </c>
      <c r="K320">
        <v>0</v>
      </c>
      <c r="L320">
        <v>257</v>
      </c>
      <c r="M320">
        <v>513</v>
      </c>
      <c r="N320">
        <v>0</v>
      </c>
      <c r="O320">
        <v>513</v>
      </c>
      <c r="P320">
        <v>513</v>
      </c>
      <c r="Q320">
        <f t="shared" si="24"/>
        <v>2024</v>
      </c>
      <c r="R320">
        <f t="shared" si="25"/>
        <v>4</v>
      </c>
      <c r="S320" s="4">
        <f t="shared" si="26"/>
        <v>503</v>
      </c>
      <c r="T320">
        <f t="shared" si="28"/>
        <v>32</v>
      </c>
      <c r="U320" s="4">
        <f t="shared" si="27"/>
        <v>16096</v>
      </c>
      <c r="V320" s="4">
        <f t="shared" si="29"/>
        <v>841801</v>
      </c>
    </row>
    <row r="321" spans="1:22" x14ac:dyDescent="0.25">
      <c r="A321" s="1">
        <v>333</v>
      </c>
      <c r="B321" s="2">
        <v>45407</v>
      </c>
      <c r="C321">
        <v>0</v>
      </c>
      <c r="D321">
        <v>93745</v>
      </c>
      <c r="E321">
        <v>94045</v>
      </c>
      <c r="F321">
        <v>93560</v>
      </c>
      <c r="G321">
        <v>93660</v>
      </c>
      <c r="H321">
        <v>629061</v>
      </c>
      <c r="I321">
        <v>738.19</v>
      </c>
      <c r="J321">
        <v>0</v>
      </c>
      <c r="K321">
        <v>0</v>
      </c>
      <c r="L321">
        <v>253</v>
      </c>
      <c r="M321">
        <v>505</v>
      </c>
      <c r="N321">
        <v>0</v>
      </c>
      <c r="O321">
        <v>15</v>
      </c>
      <c r="P321">
        <v>15</v>
      </c>
      <c r="Q321">
        <f t="shared" si="24"/>
        <v>2024</v>
      </c>
      <c r="R321">
        <f t="shared" si="25"/>
        <v>4</v>
      </c>
      <c r="S321" s="4">
        <f t="shared" si="26"/>
        <v>5</v>
      </c>
      <c r="T321">
        <f t="shared" si="28"/>
        <v>33</v>
      </c>
      <c r="U321" s="4">
        <f t="shared" si="27"/>
        <v>165</v>
      </c>
      <c r="V321" s="4">
        <f t="shared" si="29"/>
        <v>841966</v>
      </c>
    </row>
    <row r="322" spans="1:22" x14ac:dyDescent="0.25">
      <c r="A322" s="1">
        <v>334</v>
      </c>
      <c r="B322" s="2">
        <v>45408</v>
      </c>
      <c r="C322">
        <v>0</v>
      </c>
      <c r="D322">
        <v>93727</v>
      </c>
      <c r="E322">
        <v>93980</v>
      </c>
      <c r="F322">
        <v>92767</v>
      </c>
      <c r="G322">
        <v>93190</v>
      </c>
      <c r="H322">
        <v>889240</v>
      </c>
      <c r="I322">
        <v>772.1</v>
      </c>
      <c r="J322">
        <v>0</v>
      </c>
      <c r="K322">
        <v>0</v>
      </c>
      <c r="L322">
        <v>246</v>
      </c>
      <c r="M322">
        <v>492</v>
      </c>
      <c r="N322">
        <v>0</v>
      </c>
      <c r="O322">
        <v>492</v>
      </c>
      <c r="P322">
        <v>492</v>
      </c>
      <c r="Q322">
        <f t="shared" si="24"/>
        <v>2024</v>
      </c>
      <c r="R322">
        <f t="shared" si="25"/>
        <v>4</v>
      </c>
      <c r="S322" s="4">
        <f t="shared" si="26"/>
        <v>482</v>
      </c>
      <c r="T322">
        <f t="shared" si="28"/>
        <v>34</v>
      </c>
      <c r="U322" s="4">
        <f t="shared" si="27"/>
        <v>16388</v>
      </c>
      <c r="V322" s="4">
        <f t="shared" si="29"/>
        <v>858354</v>
      </c>
    </row>
    <row r="323" spans="1:22" x14ac:dyDescent="0.25">
      <c r="A323" s="1">
        <v>335</v>
      </c>
      <c r="B323" s="2">
        <v>45409</v>
      </c>
      <c r="C323">
        <v>0</v>
      </c>
      <c r="D323">
        <v>93180</v>
      </c>
      <c r="E323">
        <v>93987</v>
      </c>
      <c r="F323">
        <v>93076</v>
      </c>
      <c r="G323">
        <v>93876</v>
      </c>
      <c r="H323">
        <v>370255</v>
      </c>
      <c r="I323">
        <v>782.03</v>
      </c>
      <c r="J323">
        <v>1</v>
      </c>
      <c r="K323">
        <v>0</v>
      </c>
      <c r="L323">
        <v>257</v>
      </c>
      <c r="M323">
        <v>515</v>
      </c>
      <c r="N323">
        <v>0</v>
      </c>
      <c r="O323">
        <v>257</v>
      </c>
      <c r="P323">
        <v>257</v>
      </c>
      <c r="Q323">
        <f t="shared" ref="Q323:Q386" si="30">YEAR(B323)</f>
        <v>2024</v>
      </c>
      <c r="R323">
        <f t="shared" ref="R323:R386" si="31">MONTH(B323)</f>
        <v>4</v>
      </c>
      <c r="S323" s="4">
        <f t="shared" ref="S323:S386" si="32">P323-10</f>
        <v>247</v>
      </c>
      <c r="T323">
        <f t="shared" si="28"/>
        <v>33</v>
      </c>
      <c r="U323" s="4">
        <f t="shared" ref="U323:U386" si="33">S323*T323</f>
        <v>8151</v>
      </c>
      <c r="V323" s="4">
        <f t="shared" si="29"/>
        <v>866505</v>
      </c>
    </row>
    <row r="324" spans="1:22" x14ac:dyDescent="0.25">
      <c r="A324" s="1">
        <v>336</v>
      </c>
      <c r="B324" s="2">
        <v>45411</v>
      </c>
      <c r="C324">
        <v>0</v>
      </c>
      <c r="D324">
        <v>93960</v>
      </c>
      <c r="E324">
        <v>94720</v>
      </c>
      <c r="F324">
        <v>93869</v>
      </c>
      <c r="G324">
        <v>94130</v>
      </c>
      <c r="H324">
        <v>392531</v>
      </c>
      <c r="I324">
        <v>786.95</v>
      </c>
      <c r="J324">
        <v>1</v>
      </c>
      <c r="K324">
        <v>1</v>
      </c>
      <c r="L324">
        <v>261</v>
      </c>
      <c r="M324">
        <v>521</v>
      </c>
      <c r="N324">
        <v>314</v>
      </c>
      <c r="O324">
        <v>0</v>
      </c>
      <c r="P324">
        <v>314</v>
      </c>
      <c r="Q324">
        <f t="shared" si="30"/>
        <v>2024</v>
      </c>
      <c r="R324">
        <f t="shared" si="31"/>
        <v>4</v>
      </c>
      <c r="S324" s="4">
        <f t="shared" si="32"/>
        <v>304</v>
      </c>
      <c r="T324">
        <f t="shared" ref="T324:T387" si="34">ROUNDDOWN(V323*$Y$2/L324,0)</f>
        <v>33</v>
      </c>
      <c r="U324" s="4">
        <f t="shared" si="33"/>
        <v>10032</v>
      </c>
      <c r="V324" s="4">
        <f t="shared" ref="V324:V387" si="35">V323+U324</f>
        <v>876537</v>
      </c>
    </row>
    <row r="325" spans="1:22" x14ac:dyDescent="0.25">
      <c r="A325" s="1">
        <v>337</v>
      </c>
      <c r="B325" s="2">
        <v>45412</v>
      </c>
      <c r="C325">
        <v>0</v>
      </c>
      <c r="D325">
        <v>94303</v>
      </c>
      <c r="E325">
        <v>94648</v>
      </c>
      <c r="F325">
        <v>94011</v>
      </c>
      <c r="G325">
        <v>94198</v>
      </c>
      <c r="H325">
        <v>333029</v>
      </c>
      <c r="I325">
        <v>776.24</v>
      </c>
      <c r="J325">
        <v>0</v>
      </c>
      <c r="K325">
        <v>1</v>
      </c>
      <c r="L325">
        <v>262</v>
      </c>
      <c r="M325">
        <v>525</v>
      </c>
      <c r="N325">
        <v>-118</v>
      </c>
      <c r="O325">
        <v>0</v>
      </c>
      <c r="P325">
        <v>-118</v>
      </c>
      <c r="Q325">
        <f t="shared" si="30"/>
        <v>2024</v>
      </c>
      <c r="R325">
        <f t="shared" si="31"/>
        <v>4</v>
      </c>
      <c r="S325" s="4">
        <f t="shared" si="32"/>
        <v>-128</v>
      </c>
      <c r="T325">
        <f t="shared" si="34"/>
        <v>33</v>
      </c>
      <c r="U325" s="4">
        <f t="shared" si="33"/>
        <v>-4224</v>
      </c>
      <c r="V325" s="4">
        <f t="shared" si="35"/>
        <v>872313</v>
      </c>
    </row>
    <row r="326" spans="1:22" x14ac:dyDescent="0.25">
      <c r="A326" s="1">
        <v>338</v>
      </c>
      <c r="B326" s="2">
        <v>45414</v>
      </c>
      <c r="C326">
        <v>0</v>
      </c>
      <c r="D326">
        <v>94167</v>
      </c>
      <c r="E326">
        <v>94167</v>
      </c>
      <c r="F326">
        <v>93121</v>
      </c>
      <c r="G326">
        <v>93450</v>
      </c>
      <c r="H326">
        <v>752635</v>
      </c>
      <c r="I326">
        <v>797.72</v>
      </c>
      <c r="J326">
        <v>0</v>
      </c>
      <c r="K326">
        <v>0</v>
      </c>
      <c r="L326">
        <v>259</v>
      </c>
      <c r="M326">
        <v>517</v>
      </c>
      <c r="N326">
        <v>0</v>
      </c>
      <c r="O326">
        <v>517</v>
      </c>
      <c r="P326">
        <v>517</v>
      </c>
      <c r="Q326">
        <f t="shared" si="30"/>
        <v>2024</v>
      </c>
      <c r="R326">
        <f t="shared" si="31"/>
        <v>5</v>
      </c>
      <c r="S326" s="4">
        <f t="shared" si="32"/>
        <v>507</v>
      </c>
      <c r="T326">
        <f t="shared" si="34"/>
        <v>33</v>
      </c>
      <c r="U326" s="4">
        <f t="shared" si="33"/>
        <v>16731</v>
      </c>
      <c r="V326" s="4">
        <f t="shared" si="35"/>
        <v>889044</v>
      </c>
    </row>
    <row r="327" spans="1:22" x14ac:dyDescent="0.25">
      <c r="A327" s="1">
        <v>339</v>
      </c>
      <c r="B327" s="2">
        <v>45415</v>
      </c>
      <c r="C327">
        <v>0</v>
      </c>
      <c r="D327">
        <v>93451</v>
      </c>
      <c r="E327">
        <v>93480</v>
      </c>
      <c r="F327">
        <v>93047</v>
      </c>
      <c r="G327">
        <v>93193</v>
      </c>
      <c r="H327">
        <v>617359</v>
      </c>
      <c r="I327">
        <v>771.67</v>
      </c>
      <c r="J327">
        <v>0</v>
      </c>
      <c r="K327">
        <v>0</v>
      </c>
      <c r="L327">
        <v>266</v>
      </c>
      <c r="M327">
        <v>532</v>
      </c>
      <c r="N327">
        <v>0</v>
      </c>
      <c r="O327">
        <v>273</v>
      </c>
      <c r="P327">
        <v>273</v>
      </c>
      <c r="Q327">
        <f t="shared" si="30"/>
        <v>2024</v>
      </c>
      <c r="R327">
        <f t="shared" si="31"/>
        <v>5</v>
      </c>
      <c r="S327" s="4">
        <f t="shared" si="32"/>
        <v>263</v>
      </c>
      <c r="T327">
        <f t="shared" si="34"/>
        <v>33</v>
      </c>
      <c r="U327" s="4">
        <f t="shared" si="33"/>
        <v>8679</v>
      </c>
      <c r="V327" s="4">
        <f t="shared" si="35"/>
        <v>897723</v>
      </c>
    </row>
    <row r="328" spans="1:22" x14ac:dyDescent="0.25">
      <c r="A328" s="1">
        <v>340</v>
      </c>
      <c r="B328" s="2">
        <v>45418</v>
      </c>
      <c r="C328">
        <v>0</v>
      </c>
      <c r="D328">
        <v>93263</v>
      </c>
      <c r="E328">
        <v>93465</v>
      </c>
      <c r="F328">
        <v>92345</v>
      </c>
      <c r="G328">
        <v>92846</v>
      </c>
      <c r="H328">
        <v>677472</v>
      </c>
      <c r="I328">
        <v>796.55</v>
      </c>
      <c r="J328">
        <v>0</v>
      </c>
      <c r="K328">
        <v>0</v>
      </c>
      <c r="L328">
        <v>257</v>
      </c>
      <c r="M328">
        <v>514</v>
      </c>
      <c r="N328">
        <v>0</v>
      </c>
      <c r="O328">
        <v>436</v>
      </c>
      <c r="P328">
        <v>436</v>
      </c>
      <c r="Q328">
        <f t="shared" si="30"/>
        <v>2024</v>
      </c>
      <c r="R328">
        <f t="shared" si="31"/>
        <v>5</v>
      </c>
      <c r="S328" s="4">
        <f t="shared" si="32"/>
        <v>426</v>
      </c>
      <c r="T328">
        <f t="shared" si="34"/>
        <v>34</v>
      </c>
      <c r="U328" s="4">
        <f t="shared" si="33"/>
        <v>14484</v>
      </c>
      <c r="V328" s="4">
        <f t="shared" si="35"/>
        <v>912207</v>
      </c>
    </row>
    <row r="329" spans="1:22" x14ac:dyDescent="0.25">
      <c r="A329" s="1">
        <v>341</v>
      </c>
      <c r="B329" s="2">
        <v>45419</v>
      </c>
      <c r="C329">
        <v>0</v>
      </c>
      <c r="D329">
        <v>92848</v>
      </c>
      <c r="E329">
        <v>92990</v>
      </c>
      <c r="F329">
        <v>92400</v>
      </c>
      <c r="G329">
        <v>92799</v>
      </c>
      <c r="H329">
        <v>532861</v>
      </c>
      <c r="I329">
        <v>781.8</v>
      </c>
      <c r="J329">
        <v>0</v>
      </c>
      <c r="K329">
        <v>0</v>
      </c>
      <c r="L329">
        <v>266</v>
      </c>
      <c r="M329">
        <v>531</v>
      </c>
      <c r="N329">
        <v>0</v>
      </c>
      <c r="O329">
        <v>79</v>
      </c>
      <c r="P329">
        <v>79</v>
      </c>
      <c r="Q329">
        <f t="shared" si="30"/>
        <v>2024</v>
      </c>
      <c r="R329">
        <f t="shared" si="31"/>
        <v>5</v>
      </c>
      <c r="S329" s="4">
        <f t="shared" si="32"/>
        <v>69</v>
      </c>
      <c r="T329">
        <f t="shared" si="34"/>
        <v>34</v>
      </c>
      <c r="U329" s="4">
        <f t="shared" si="33"/>
        <v>2346</v>
      </c>
      <c r="V329" s="4">
        <f t="shared" si="35"/>
        <v>914553</v>
      </c>
    </row>
    <row r="330" spans="1:22" x14ac:dyDescent="0.25">
      <c r="A330" s="1">
        <v>342</v>
      </c>
      <c r="B330" s="2">
        <v>45420</v>
      </c>
      <c r="C330">
        <v>0</v>
      </c>
      <c r="D330">
        <v>92902</v>
      </c>
      <c r="E330">
        <v>93475</v>
      </c>
      <c r="F330">
        <v>92685</v>
      </c>
      <c r="G330">
        <v>93199</v>
      </c>
      <c r="H330">
        <v>778232</v>
      </c>
      <c r="I330">
        <v>782.38</v>
      </c>
      <c r="J330">
        <v>1</v>
      </c>
      <c r="K330">
        <v>0</v>
      </c>
      <c r="L330">
        <v>261</v>
      </c>
      <c r="M330">
        <v>521</v>
      </c>
      <c r="N330">
        <v>0</v>
      </c>
      <c r="O330">
        <v>-271</v>
      </c>
      <c r="P330">
        <v>-271</v>
      </c>
      <c r="Q330">
        <f t="shared" si="30"/>
        <v>2024</v>
      </c>
      <c r="R330">
        <f t="shared" si="31"/>
        <v>5</v>
      </c>
      <c r="S330" s="4">
        <f t="shared" si="32"/>
        <v>-281</v>
      </c>
      <c r="T330">
        <f t="shared" si="34"/>
        <v>35</v>
      </c>
      <c r="U330" s="4">
        <f t="shared" si="33"/>
        <v>-9835</v>
      </c>
      <c r="V330" s="4">
        <f t="shared" si="35"/>
        <v>904718</v>
      </c>
    </row>
    <row r="331" spans="1:22" x14ac:dyDescent="0.25">
      <c r="A331" s="1">
        <v>343</v>
      </c>
      <c r="B331" s="2">
        <v>45422</v>
      </c>
      <c r="C331">
        <v>0</v>
      </c>
      <c r="D331">
        <v>93227</v>
      </c>
      <c r="E331">
        <v>93719</v>
      </c>
      <c r="F331">
        <v>93000</v>
      </c>
      <c r="G331">
        <v>93350</v>
      </c>
      <c r="H331">
        <v>328460</v>
      </c>
      <c r="I331">
        <v>777.86</v>
      </c>
      <c r="J331">
        <v>1</v>
      </c>
      <c r="K331">
        <v>1</v>
      </c>
      <c r="L331">
        <v>261</v>
      </c>
      <c r="M331">
        <v>522</v>
      </c>
      <c r="N331">
        <v>168</v>
      </c>
      <c r="O331">
        <v>0</v>
      </c>
      <c r="P331">
        <v>168</v>
      </c>
      <c r="Q331">
        <f t="shared" si="30"/>
        <v>2024</v>
      </c>
      <c r="R331">
        <f t="shared" si="31"/>
        <v>5</v>
      </c>
      <c r="S331" s="4">
        <f t="shared" si="32"/>
        <v>158</v>
      </c>
      <c r="T331">
        <f t="shared" si="34"/>
        <v>34</v>
      </c>
      <c r="U331" s="4">
        <f t="shared" si="33"/>
        <v>5372</v>
      </c>
      <c r="V331" s="4">
        <f t="shared" si="35"/>
        <v>910090</v>
      </c>
    </row>
    <row r="332" spans="1:22" x14ac:dyDescent="0.25">
      <c r="A332" s="1">
        <v>344</v>
      </c>
      <c r="B332" s="2">
        <v>45425</v>
      </c>
      <c r="C332">
        <v>0</v>
      </c>
      <c r="D332">
        <v>93373</v>
      </c>
      <c r="E332">
        <v>93504</v>
      </c>
      <c r="F332">
        <v>92438</v>
      </c>
      <c r="G332">
        <v>92501</v>
      </c>
      <c r="H332">
        <v>676614</v>
      </c>
      <c r="I332">
        <v>798.44</v>
      </c>
      <c r="J332">
        <v>0</v>
      </c>
      <c r="K332">
        <v>1</v>
      </c>
      <c r="L332">
        <v>259</v>
      </c>
      <c r="M332">
        <v>519</v>
      </c>
      <c r="N332">
        <v>259</v>
      </c>
      <c r="O332">
        <v>0</v>
      </c>
      <c r="P332">
        <v>259</v>
      </c>
      <c r="Q332">
        <f t="shared" si="30"/>
        <v>2024</v>
      </c>
      <c r="R332">
        <f t="shared" si="31"/>
        <v>5</v>
      </c>
      <c r="S332" s="4">
        <f t="shared" si="32"/>
        <v>249</v>
      </c>
      <c r="T332">
        <f t="shared" si="34"/>
        <v>35</v>
      </c>
      <c r="U332" s="4">
        <f t="shared" si="33"/>
        <v>8715</v>
      </c>
      <c r="V332" s="4">
        <f t="shared" si="35"/>
        <v>918805</v>
      </c>
    </row>
    <row r="333" spans="1:22" x14ac:dyDescent="0.25">
      <c r="A333" s="1">
        <v>345</v>
      </c>
      <c r="B333" s="2">
        <v>45426</v>
      </c>
      <c r="C333">
        <v>0</v>
      </c>
      <c r="D333">
        <v>92526</v>
      </c>
      <c r="E333">
        <v>92870</v>
      </c>
      <c r="F333">
        <v>92325</v>
      </c>
      <c r="G333">
        <v>92573</v>
      </c>
      <c r="H333">
        <v>523926</v>
      </c>
      <c r="I333">
        <v>780.34</v>
      </c>
      <c r="J333">
        <v>1</v>
      </c>
      <c r="K333">
        <v>0</v>
      </c>
      <c r="L333">
        <v>266</v>
      </c>
      <c r="M333">
        <v>532</v>
      </c>
      <c r="N333">
        <v>0</v>
      </c>
      <c r="O333">
        <v>-25</v>
      </c>
      <c r="P333">
        <v>-25</v>
      </c>
      <c r="Q333">
        <f t="shared" si="30"/>
        <v>2024</v>
      </c>
      <c r="R333">
        <f t="shared" si="31"/>
        <v>5</v>
      </c>
      <c r="S333" s="4">
        <f t="shared" si="32"/>
        <v>-35</v>
      </c>
      <c r="T333">
        <f t="shared" si="34"/>
        <v>34</v>
      </c>
      <c r="U333" s="4">
        <f t="shared" si="33"/>
        <v>-1190</v>
      </c>
      <c r="V333" s="4">
        <f t="shared" si="35"/>
        <v>917615</v>
      </c>
    </row>
    <row r="334" spans="1:22" x14ac:dyDescent="0.25">
      <c r="A334" s="1">
        <v>346</v>
      </c>
      <c r="B334" s="2">
        <v>45427</v>
      </c>
      <c r="C334">
        <v>0</v>
      </c>
      <c r="D334">
        <v>92550</v>
      </c>
      <c r="E334">
        <v>92600</v>
      </c>
      <c r="F334">
        <v>91886</v>
      </c>
      <c r="G334">
        <v>92020</v>
      </c>
      <c r="H334">
        <v>660256</v>
      </c>
      <c r="I334">
        <v>775.6</v>
      </c>
      <c r="J334">
        <v>0</v>
      </c>
      <c r="K334">
        <v>1</v>
      </c>
      <c r="L334">
        <v>260</v>
      </c>
      <c r="M334">
        <v>520</v>
      </c>
      <c r="N334">
        <v>260</v>
      </c>
      <c r="O334">
        <v>0</v>
      </c>
      <c r="P334">
        <v>260</v>
      </c>
      <c r="Q334">
        <f t="shared" si="30"/>
        <v>2024</v>
      </c>
      <c r="R334">
        <f t="shared" si="31"/>
        <v>5</v>
      </c>
      <c r="S334" s="4">
        <f t="shared" si="32"/>
        <v>250</v>
      </c>
      <c r="T334">
        <f t="shared" si="34"/>
        <v>35</v>
      </c>
      <c r="U334" s="4">
        <f t="shared" si="33"/>
        <v>8750</v>
      </c>
      <c r="V334" s="4">
        <f t="shared" si="35"/>
        <v>926365</v>
      </c>
    </row>
    <row r="335" spans="1:22" x14ac:dyDescent="0.25">
      <c r="A335" s="1">
        <v>347</v>
      </c>
      <c r="B335" s="2">
        <v>45428</v>
      </c>
      <c r="C335">
        <v>0</v>
      </c>
      <c r="D335">
        <v>92040</v>
      </c>
      <c r="E335">
        <v>92202</v>
      </c>
      <c r="F335">
        <v>91702</v>
      </c>
      <c r="G335">
        <v>91875</v>
      </c>
      <c r="H335">
        <v>499581</v>
      </c>
      <c r="I335">
        <v>755.91</v>
      </c>
      <c r="J335">
        <v>0</v>
      </c>
      <c r="K335">
        <v>0</v>
      </c>
      <c r="L335">
        <v>259</v>
      </c>
      <c r="M335">
        <v>517</v>
      </c>
      <c r="N335">
        <v>0</v>
      </c>
      <c r="O335">
        <v>114</v>
      </c>
      <c r="P335">
        <v>114</v>
      </c>
      <c r="Q335">
        <f t="shared" si="30"/>
        <v>2024</v>
      </c>
      <c r="R335">
        <f t="shared" si="31"/>
        <v>5</v>
      </c>
      <c r="S335" s="4">
        <f t="shared" si="32"/>
        <v>104</v>
      </c>
      <c r="T335">
        <f t="shared" si="34"/>
        <v>35</v>
      </c>
      <c r="U335" s="4">
        <f t="shared" si="33"/>
        <v>3640</v>
      </c>
      <c r="V335" s="4">
        <f t="shared" si="35"/>
        <v>930005</v>
      </c>
    </row>
    <row r="336" spans="1:22" x14ac:dyDescent="0.25">
      <c r="A336" s="1">
        <v>348</v>
      </c>
      <c r="B336" s="2">
        <v>45429</v>
      </c>
      <c r="C336">
        <v>0</v>
      </c>
      <c r="D336">
        <v>91931</v>
      </c>
      <c r="E336">
        <v>92078</v>
      </c>
      <c r="F336">
        <v>91668</v>
      </c>
      <c r="G336">
        <v>91728</v>
      </c>
      <c r="H336">
        <v>488475</v>
      </c>
      <c r="I336">
        <v>731.2</v>
      </c>
      <c r="J336">
        <v>0</v>
      </c>
      <c r="K336">
        <v>0</v>
      </c>
      <c r="L336">
        <v>252</v>
      </c>
      <c r="M336">
        <v>504</v>
      </c>
      <c r="N336">
        <v>0</v>
      </c>
      <c r="O336">
        <v>229</v>
      </c>
      <c r="P336">
        <v>229</v>
      </c>
      <c r="Q336">
        <f t="shared" si="30"/>
        <v>2024</v>
      </c>
      <c r="R336">
        <f t="shared" si="31"/>
        <v>5</v>
      </c>
      <c r="S336" s="4">
        <f t="shared" si="32"/>
        <v>219</v>
      </c>
      <c r="T336">
        <f t="shared" si="34"/>
        <v>36</v>
      </c>
      <c r="U336" s="4">
        <f t="shared" si="33"/>
        <v>7884</v>
      </c>
      <c r="V336" s="4">
        <f t="shared" si="35"/>
        <v>937889</v>
      </c>
    </row>
    <row r="337" spans="1:22" x14ac:dyDescent="0.25">
      <c r="A337" s="1">
        <v>349</v>
      </c>
      <c r="B337" s="2">
        <v>45432</v>
      </c>
      <c r="C337">
        <v>0</v>
      </c>
      <c r="D337">
        <v>91770</v>
      </c>
      <c r="E337">
        <v>91920</v>
      </c>
      <c r="F337">
        <v>91122</v>
      </c>
      <c r="G337">
        <v>91615</v>
      </c>
      <c r="H337">
        <v>589960</v>
      </c>
      <c r="I337">
        <v>735.98</v>
      </c>
      <c r="J337">
        <v>0</v>
      </c>
      <c r="K337">
        <v>0</v>
      </c>
      <c r="L337">
        <v>244</v>
      </c>
      <c r="M337">
        <v>487</v>
      </c>
      <c r="N337">
        <v>0</v>
      </c>
      <c r="O337">
        <v>112</v>
      </c>
      <c r="P337">
        <v>112</v>
      </c>
      <c r="Q337">
        <f t="shared" si="30"/>
        <v>2024</v>
      </c>
      <c r="R337">
        <f t="shared" si="31"/>
        <v>5</v>
      </c>
      <c r="S337" s="4">
        <f t="shared" si="32"/>
        <v>102</v>
      </c>
      <c r="T337">
        <f t="shared" si="34"/>
        <v>38</v>
      </c>
      <c r="U337" s="4">
        <f t="shared" si="33"/>
        <v>3876</v>
      </c>
      <c r="V337" s="4">
        <f t="shared" si="35"/>
        <v>941765</v>
      </c>
    </row>
    <row r="338" spans="1:22" x14ac:dyDescent="0.25">
      <c r="A338" s="1">
        <v>350</v>
      </c>
      <c r="B338" s="2">
        <v>45433</v>
      </c>
      <c r="C338">
        <v>0</v>
      </c>
      <c r="D338">
        <v>91593</v>
      </c>
      <c r="E338">
        <v>91593</v>
      </c>
      <c r="F338">
        <v>90714</v>
      </c>
      <c r="G338">
        <v>90867</v>
      </c>
      <c r="H338">
        <v>552418</v>
      </c>
      <c r="I338">
        <v>747.76</v>
      </c>
      <c r="J338">
        <v>0</v>
      </c>
      <c r="K338">
        <v>0</v>
      </c>
      <c r="L338">
        <v>245</v>
      </c>
      <c r="M338">
        <v>491</v>
      </c>
      <c r="N338">
        <v>0</v>
      </c>
      <c r="O338">
        <v>491</v>
      </c>
      <c r="P338">
        <v>491</v>
      </c>
      <c r="Q338">
        <f t="shared" si="30"/>
        <v>2024</v>
      </c>
      <c r="R338">
        <f t="shared" si="31"/>
        <v>5</v>
      </c>
      <c r="S338" s="4">
        <f t="shared" si="32"/>
        <v>481</v>
      </c>
      <c r="T338">
        <f t="shared" si="34"/>
        <v>38</v>
      </c>
      <c r="U338" s="4">
        <f t="shared" si="33"/>
        <v>18278</v>
      </c>
      <c r="V338" s="4">
        <f t="shared" si="35"/>
        <v>960043</v>
      </c>
    </row>
    <row r="339" spans="1:22" x14ac:dyDescent="0.25">
      <c r="A339" s="1">
        <v>351</v>
      </c>
      <c r="B339" s="2">
        <v>45434</v>
      </c>
      <c r="C339">
        <v>0</v>
      </c>
      <c r="D339">
        <v>90829</v>
      </c>
      <c r="E339">
        <v>91209</v>
      </c>
      <c r="F339">
        <v>90487</v>
      </c>
      <c r="G339">
        <v>91137</v>
      </c>
      <c r="H339">
        <v>537277</v>
      </c>
      <c r="I339">
        <v>745.92</v>
      </c>
      <c r="J339">
        <v>1</v>
      </c>
      <c r="K339">
        <v>0</v>
      </c>
      <c r="L339">
        <v>249</v>
      </c>
      <c r="M339">
        <v>499</v>
      </c>
      <c r="N339">
        <v>0</v>
      </c>
      <c r="O339">
        <v>-286</v>
      </c>
      <c r="P339">
        <v>-286</v>
      </c>
      <c r="Q339">
        <f t="shared" si="30"/>
        <v>2024</v>
      </c>
      <c r="R339">
        <f t="shared" si="31"/>
        <v>5</v>
      </c>
      <c r="S339" s="4">
        <f t="shared" si="32"/>
        <v>-296</v>
      </c>
      <c r="T339">
        <f t="shared" si="34"/>
        <v>38</v>
      </c>
      <c r="U339" s="4">
        <f t="shared" si="33"/>
        <v>-11248</v>
      </c>
      <c r="V339" s="4">
        <f t="shared" si="35"/>
        <v>948795</v>
      </c>
    </row>
    <row r="340" spans="1:22" x14ac:dyDescent="0.25">
      <c r="A340" s="1">
        <v>352</v>
      </c>
      <c r="B340" s="2">
        <v>45435</v>
      </c>
      <c r="C340">
        <v>0</v>
      </c>
      <c r="D340">
        <v>91146</v>
      </c>
      <c r="E340">
        <v>91234</v>
      </c>
      <c r="F340">
        <v>90601</v>
      </c>
      <c r="G340">
        <v>90649</v>
      </c>
      <c r="H340">
        <v>439171</v>
      </c>
      <c r="I340">
        <v>737.86</v>
      </c>
      <c r="J340">
        <v>0</v>
      </c>
      <c r="K340">
        <v>1</v>
      </c>
      <c r="L340">
        <v>249</v>
      </c>
      <c r="M340">
        <v>497</v>
      </c>
      <c r="N340">
        <v>249</v>
      </c>
      <c r="O340">
        <v>0</v>
      </c>
      <c r="P340">
        <v>249</v>
      </c>
      <c r="Q340">
        <f t="shared" si="30"/>
        <v>2024</v>
      </c>
      <c r="R340">
        <f t="shared" si="31"/>
        <v>5</v>
      </c>
      <c r="S340" s="4">
        <f t="shared" si="32"/>
        <v>239</v>
      </c>
      <c r="T340">
        <f t="shared" si="34"/>
        <v>38</v>
      </c>
      <c r="U340" s="4">
        <f t="shared" si="33"/>
        <v>9082</v>
      </c>
      <c r="V340" s="4">
        <f t="shared" si="35"/>
        <v>957877</v>
      </c>
    </row>
    <row r="341" spans="1:22" x14ac:dyDescent="0.25">
      <c r="A341" s="1">
        <v>353</v>
      </c>
      <c r="B341" s="2">
        <v>45436</v>
      </c>
      <c r="C341">
        <v>0</v>
      </c>
      <c r="D341">
        <v>90682</v>
      </c>
      <c r="E341">
        <v>90684</v>
      </c>
      <c r="F341">
        <v>90040</v>
      </c>
      <c r="G341">
        <v>90334</v>
      </c>
      <c r="H341">
        <v>554450</v>
      </c>
      <c r="I341">
        <v>731.15</v>
      </c>
      <c r="J341">
        <v>0</v>
      </c>
      <c r="K341">
        <v>0</v>
      </c>
      <c r="L341">
        <v>246</v>
      </c>
      <c r="M341">
        <v>492</v>
      </c>
      <c r="N341">
        <v>0</v>
      </c>
      <c r="O341">
        <v>417</v>
      </c>
      <c r="P341">
        <v>417</v>
      </c>
      <c r="Q341">
        <f t="shared" si="30"/>
        <v>2024</v>
      </c>
      <c r="R341">
        <f t="shared" si="31"/>
        <v>5</v>
      </c>
      <c r="S341" s="4">
        <f t="shared" si="32"/>
        <v>407</v>
      </c>
      <c r="T341">
        <f t="shared" si="34"/>
        <v>38</v>
      </c>
      <c r="U341" s="4">
        <f t="shared" si="33"/>
        <v>15466</v>
      </c>
      <c r="V341" s="4">
        <f t="shared" si="35"/>
        <v>973343</v>
      </c>
    </row>
    <row r="342" spans="1:22" x14ac:dyDescent="0.25">
      <c r="A342" s="1">
        <v>354</v>
      </c>
      <c r="B342" s="2">
        <v>45439</v>
      </c>
      <c r="C342">
        <v>0</v>
      </c>
      <c r="D342">
        <v>90275</v>
      </c>
      <c r="E342">
        <v>90334</v>
      </c>
      <c r="F342">
        <v>89064</v>
      </c>
      <c r="G342">
        <v>89172</v>
      </c>
      <c r="H342">
        <v>632541</v>
      </c>
      <c r="I342">
        <v>769.64</v>
      </c>
      <c r="J342">
        <v>0</v>
      </c>
      <c r="K342">
        <v>0</v>
      </c>
      <c r="L342">
        <v>244</v>
      </c>
      <c r="M342">
        <v>487</v>
      </c>
      <c r="N342">
        <v>0</v>
      </c>
      <c r="O342">
        <v>487</v>
      </c>
      <c r="P342">
        <v>487</v>
      </c>
      <c r="Q342">
        <f t="shared" si="30"/>
        <v>2024</v>
      </c>
      <c r="R342">
        <f t="shared" si="31"/>
        <v>5</v>
      </c>
      <c r="S342" s="4">
        <f t="shared" si="32"/>
        <v>477</v>
      </c>
      <c r="T342">
        <f t="shared" si="34"/>
        <v>39</v>
      </c>
      <c r="U342" s="4">
        <f t="shared" si="33"/>
        <v>18603</v>
      </c>
      <c r="V342" s="4">
        <f t="shared" si="35"/>
        <v>991946</v>
      </c>
    </row>
    <row r="343" spans="1:22" x14ac:dyDescent="0.25">
      <c r="A343" s="1">
        <v>355</v>
      </c>
      <c r="B343" s="2">
        <v>45440</v>
      </c>
      <c r="C343">
        <v>0</v>
      </c>
      <c r="D343">
        <v>89223</v>
      </c>
      <c r="E343">
        <v>89713</v>
      </c>
      <c r="F343">
        <v>89010</v>
      </c>
      <c r="G343">
        <v>89521</v>
      </c>
      <c r="H343">
        <v>616497</v>
      </c>
      <c r="I343">
        <v>764.88</v>
      </c>
      <c r="J343">
        <v>1</v>
      </c>
      <c r="K343">
        <v>0</v>
      </c>
      <c r="L343">
        <v>257</v>
      </c>
      <c r="M343">
        <v>513</v>
      </c>
      <c r="N343">
        <v>0</v>
      </c>
      <c r="O343">
        <v>-215</v>
      </c>
      <c r="P343">
        <v>-215</v>
      </c>
      <c r="Q343">
        <f t="shared" si="30"/>
        <v>2024</v>
      </c>
      <c r="R343">
        <f t="shared" si="31"/>
        <v>5</v>
      </c>
      <c r="S343" s="4">
        <f t="shared" si="32"/>
        <v>-225</v>
      </c>
      <c r="T343">
        <f t="shared" si="34"/>
        <v>38</v>
      </c>
      <c r="U343" s="4">
        <f t="shared" si="33"/>
        <v>-8550</v>
      </c>
      <c r="V343" s="4">
        <f t="shared" si="35"/>
        <v>983396</v>
      </c>
    </row>
    <row r="344" spans="1:22" x14ac:dyDescent="0.25">
      <c r="A344" s="1">
        <v>356</v>
      </c>
      <c r="B344" s="2">
        <v>45441</v>
      </c>
      <c r="C344">
        <v>0</v>
      </c>
      <c r="D344">
        <v>89560</v>
      </c>
      <c r="E344">
        <v>90792</v>
      </c>
      <c r="F344">
        <v>89539</v>
      </c>
      <c r="G344">
        <v>90450</v>
      </c>
      <c r="H344">
        <v>826777</v>
      </c>
      <c r="I344">
        <v>801.03</v>
      </c>
      <c r="J344">
        <v>1</v>
      </c>
      <c r="K344">
        <v>1</v>
      </c>
      <c r="L344">
        <v>255</v>
      </c>
      <c r="M344">
        <v>510</v>
      </c>
      <c r="N344">
        <v>510</v>
      </c>
      <c r="O344">
        <v>0</v>
      </c>
      <c r="P344">
        <v>510</v>
      </c>
      <c r="Q344">
        <f t="shared" si="30"/>
        <v>2024</v>
      </c>
      <c r="R344">
        <f t="shared" si="31"/>
        <v>5</v>
      </c>
      <c r="S344" s="4">
        <f t="shared" si="32"/>
        <v>500</v>
      </c>
      <c r="T344">
        <f t="shared" si="34"/>
        <v>38</v>
      </c>
      <c r="U344" s="4">
        <f t="shared" si="33"/>
        <v>19000</v>
      </c>
      <c r="V344" s="4">
        <f t="shared" si="35"/>
        <v>1002396</v>
      </c>
    </row>
    <row r="345" spans="1:22" x14ac:dyDescent="0.25">
      <c r="A345" s="1">
        <v>357</v>
      </c>
      <c r="B345" s="2">
        <v>45442</v>
      </c>
      <c r="C345">
        <v>0</v>
      </c>
      <c r="D345">
        <v>90600</v>
      </c>
      <c r="E345">
        <v>90845</v>
      </c>
      <c r="F345">
        <v>90341</v>
      </c>
      <c r="G345">
        <v>90705</v>
      </c>
      <c r="H345">
        <v>638716</v>
      </c>
      <c r="I345">
        <v>779.82</v>
      </c>
      <c r="J345">
        <v>1</v>
      </c>
      <c r="K345">
        <v>1</v>
      </c>
      <c r="L345">
        <v>267</v>
      </c>
      <c r="M345">
        <v>534</v>
      </c>
      <c r="N345">
        <v>164</v>
      </c>
      <c r="O345">
        <v>0</v>
      </c>
      <c r="P345">
        <v>164</v>
      </c>
      <c r="Q345">
        <f t="shared" si="30"/>
        <v>2024</v>
      </c>
      <c r="R345">
        <f t="shared" si="31"/>
        <v>5</v>
      </c>
      <c r="S345" s="4">
        <f t="shared" si="32"/>
        <v>154</v>
      </c>
      <c r="T345">
        <f t="shared" si="34"/>
        <v>37</v>
      </c>
      <c r="U345" s="4">
        <f t="shared" si="33"/>
        <v>5698</v>
      </c>
      <c r="V345" s="4">
        <f t="shared" si="35"/>
        <v>1008094</v>
      </c>
    </row>
    <row r="346" spans="1:22" x14ac:dyDescent="0.25">
      <c r="A346" s="1">
        <v>358</v>
      </c>
      <c r="B346" s="2">
        <v>45443</v>
      </c>
      <c r="C346">
        <v>0</v>
      </c>
      <c r="D346">
        <v>90906</v>
      </c>
      <c r="E346">
        <v>91062</v>
      </c>
      <c r="F346">
        <v>90202</v>
      </c>
      <c r="G346">
        <v>90220</v>
      </c>
      <c r="H346">
        <v>579926</v>
      </c>
      <c r="I346">
        <v>785.54</v>
      </c>
      <c r="J346">
        <v>0</v>
      </c>
      <c r="K346">
        <v>1</v>
      </c>
      <c r="L346">
        <v>260</v>
      </c>
      <c r="M346">
        <v>520</v>
      </c>
      <c r="N346">
        <v>260</v>
      </c>
      <c r="O346">
        <v>0</v>
      </c>
      <c r="P346">
        <v>260</v>
      </c>
      <c r="Q346">
        <f t="shared" si="30"/>
        <v>2024</v>
      </c>
      <c r="R346">
        <f t="shared" si="31"/>
        <v>5</v>
      </c>
      <c r="S346" s="4">
        <f t="shared" si="32"/>
        <v>250</v>
      </c>
      <c r="T346">
        <f t="shared" si="34"/>
        <v>38</v>
      </c>
      <c r="U346" s="4">
        <f t="shared" si="33"/>
        <v>9500</v>
      </c>
      <c r="V346" s="4">
        <f t="shared" si="35"/>
        <v>1017594</v>
      </c>
    </row>
    <row r="347" spans="1:22" x14ac:dyDescent="0.25">
      <c r="A347" s="1">
        <v>359</v>
      </c>
      <c r="B347" s="2">
        <v>45446</v>
      </c>
      <c r="C347">
        <v>0</v>
      </c>
      <c r="D347">
        <v>90404</v>
      </c>
      <c r="E347">
        <v>90680</v>
      </c>
      <c r="F347">
        <v>89280</v>
      </c>
      <c r="G347">
        <v>89607</v>
      </c>
      <c r="H347">
        <v>823677</v>
      </c>
      <c r="I347">
        <v>829.43</v>
      </c>
      <c r="J347">
        <v>0</v>
      </c>
      <c r="K347">
        <v>0</v>
      </c>
      <c r="L347">
        <v>262</v>
      </c>
      <c r="M347">
        <v>524</v>
      </c>
      <c r="N347">
        <v>0</v>
      </c>
      <c r="O347">
        <v>524</v>
      </c>
      <c r="P347">
        <v>524</v>
      </c>
      <c r="Q347">
        <f t="shared" si="30"/>
        <v>2024</v>
      </c>
      <c r="R347">
        <f t="shared" si="31"/>
        <v>6</v>
      </c>
      <c r="S347" s="4">
        <f t="shared" si="32"/>
        <v>514</v>
      </c>
      <c r="T347">
        <f t="shared" si="34"/>
        <v>38</v>
      </c>
      <c r="U347" s="4">
        <f t="shared" si="33"/>
        <v>19532</v>
      </c>
      <c r="V347" s="4">
        <f t="shared" si="35"/>
        <v>1037126</v>
      </c>
    </row>
    <row r="348" spans="1:22" x14ac:dyDescent="0.25">
      <c r="A348" s="1">
        <v>360</v>
      </c>
      <c r="B348" s="2">
        <v>45447</v>
      </c>
      <c r="C348">
        <v>0</v>
      </c>
      <c r="D348">
        <v>89727</v>
      </c>
      <c r="E348">
        <v>89848</v>
      </c>
      <c r="F348">
        <v>88940</v>
      </c>
      <c r="G348">
        <v>89288</v>
      </c>
      <c r="H348">
        <v>653250</v>
      </c>
      <c r="I348">
        <v>835.05</v>
      </c>
      <c r="J348">
        <v>0</v>
      </c>
      <c r="K348">
        <v>0</v>
      </c>
      <c r="L348">
        <v>276</v>
      </c>
      <c r="M348">
        <v>553</v>
      </c>
      <c r="N348">
        <v>0</v>
      </c>
      <c r="O348">
        <v>509</v>
      </c>
      <c r="P348">
        <v>509</v>
      </c>
      <c r="Q348">
        <f t="shared" si="30"/>
        <v>2024</v>
      </c>
      <c r="R348">
        <f t="shared" si="31"/>
        <v>6</v>
      </c>
      <c r="S348" s="4">
        <f t="shared" si="32"/>
        <v>499</v>
      </c>
      <c r="T348">
        <f t="shared" si="34"/>
        <v>37</v>
      </c>
      <c r="U348" s="4">
        <f t="shared" si="33"/>
        <v>18463</v>
      </c>
      <c r="V348" s="4">
        <f t="shared" si="35"/>
        <v>1055589</v>
      </c>
    </row>
    <row r="349" spans="1:22" x14ac:dyDescent="0.25">
      <c r="A349" s="1">
        <v>361</v>
      </c>
      <c r="B349" s="2">
        <v>45448</v>
      </c>
      <c r="C349">
        <v>0</v>
      </c>
      <c r="D349">
        <v>89292</v>
      </c>
      <c r="E349">
        <v>89512</v>
      </c>
      <c r="F349">
        <v>88868</v>
      </c>
      <c r="G349">
        <v>89096</v>
      </c>
      <c r="H349">
        <v>574574</v>
      </c>
      <c r="I349">
        <v>821.4</v>
      </c>
      <c r="J349">
        <v>0</v>
      </c>
      <c r="K349">
        <v>0</v>
      </c>
      <c r="L349">
        <v>278</v>
      </c>
      <c r="M349">
        <v>557</v>
      </c>
      <c r="N349">
        <v>0</v>
      </c>
      <c r="O349">
        <v>177</v>
      </c>
      <c r="P349">
        <v>177</v>
      </c>
      <c r="Q349">
        <f t="shared" si="30"/>
        <v>2024</v>
      </c>
      <c r="R349">
        <f t="shared" si="31"/>
        <v>6</v>
      </c>
      <c r="S349" s="4">
        <f t="shared" si="32"/>
        <v>167</v>
      </c>
      <c r="T349">
        <f t="shared" si="34"/>
        <v>37</v>
      </c>
      <c r="U349" s="4">
        <f t="shared" si="33"/>
        <v>6179</v>
      </c>
      <c r="V349" s="4">
        <f t="shared" si="35"/>
        <v>1061768</v>
      </c>
    </row>
    <row r="350" spans="1:22" x14ac:dyDescent="0.25">
      <c r="A350" s="1">
        <v>362</v>
      </c>
      <c r="B350" s="2">
        <v>45449</v>
      </c>
      <c r="C350">
        <v>0</v>
      </c>
      <c r="D350">
        <v>89119</v>
      </c>
      <c r="E350">
        <v>89593</v>
      </c>
      <c r="F350">
        <v>88811</v>
      </c>
      <c r="G350">
        <v>89001</v>
      </c>
      <c r="H350">
        <v>777985</v>
      </c>
      <c r="I350">
        <v>818.59</v>
      </c>
      <c r="J350">
        <v>0</v>
      </c>
      <c r="K350">
        <v>0</v>
      </c>
      <c r="L350">
        <v>274</v>
      </c>
      <c r="M350">
        <v>548</v>
      </c>
      <c r="N350">
        <v>0</v>
      </c>
      <c r="O350">
        <v>256</v>
      </c>
      <c r="P350">
        <v>256</v>
      </c>
      <c r="Q350">
        <f t="shared" si="30"/>
        <v>2024</v>
      </c>
      <c r="R350">
        <f t="shared" si="31"/>
        <v>6</v>
      </c>
      <c r="S350" s="4">
        <f t="shared" si="32"/>
        <v>246</v>
      </c>
      <c r="T350">
        <f t="shared" si="34"/>
        <v>38</v>
      </c>
      <c r="U350" s="4">
        <f t="shared" si="33"/>
        <v>9348</v>
      </c>
      <c r="V350" s="4">
        <f t="shared" si="35"/>
        <v>1071116</v>
      </c>
    </row>
    <row r="351" spans="1:22" x14ac:dyDescent="0.25">
      <c r="A351" s="1">
        <v>363</v>
      </c>
      <c r="B351" s="2">
        <v>45450</v>
      </c>
      <c r="C351">
        <v>0</v>
      </c>
      <c r="D351">
        <v>89078</v>
      </c>
      <c r="E351">
        <v>89948</v>
      </c>
      <c r="F351">
        <v>88784</v>
      </c>
      <c r="G351">
        <v>89405</v>
      </c>
      <c r="H351">
        <v>918985</v>
      </c>
      <c r="I351">
        <v>843.26</v>
      </c>
      <c r="J351">
        <v>1</v>
      </c>
      <c r="K351">
        <v>0</v>
      </c>
      <c r="L351">
        <v>273</v>
      </c>
      <c r="M351">
        <v>546</v>
      </c>
      <c r="N351">
        <v>0</v>
      </c>
      <c r="O351">
        <v>-343</v>
      </c>
      <c r="P351">
        <v>-343</v>
      </c>
      <c r="Q351">
        <f t="shared" si="30"/>
        <v>2024</v>
      </c>
      <c r="R351">
        <f t="shared" si="31"/>
        <v>6</v>
      </c>
      <c r="S351" s="4">
        <f t="shared" si="32"/>
        <v>-353</v>
      </c>
      <c r="T351">
        <f t="shared" si="34"/>
        <v>39</v>
      </c>
      <c r="U351" s="4">
        <f t="shared" si="33"/>
        <v>-13767</v>
      </c>
      <c r="V351" s="4">
        <f t="shared" si="35"/>
        <v>1057349</v>
      </c>
    </row>
    <row r="352" spans="1:22" x14ac:dyDescent="0.25">
      <c r="A352" s="1">
        <v>364</v>
      </c>
      <c r="B352" s="2">
        <v>45453</v>
      </c>
      <c r="C352">
        <v>0</v>
      </c>
      <c r="D352">
        <v>89590</v>
      </c>
      <c r="E352">
        <v>89719</v>
      </c>
      <c r="F352">
        <v>88546</v>
      </c>
      <c r="G352">
        <v>88800</v>
      </c>
      <c r="H352">
        <v>581774</v>
      </c>
      <c r="I352">
        <v>866.81</v>
      </c>
      <c r="J352">
        <v>0</v>
      </c>
      <c r="K352">
        <v>1</v>
      </c>
      <c r="L352">
        <v>281</v>
      </c>
      <c r="M352">
        <v>562</v>
      </c>
      <c r="N352">
        <v>281</v>
      </c>
      <c r="O352">
        <v>0</v>
      </c>
      <c r="P352">
        <v>281</v>
      </c>
      <c r="Q352">
        <f t="shared" si="30"/>
        <v>2024</v>
      </c>
      <c r="R352">
        <f t="shared" si="31"/>
        <v>6</v>
      </c>
      <c r="S352" s="4">
        <f t="shared" si="32"/>
        <v>271</v>
      </c>
      <c r="T352">
        <f t="shared" si="34"/>
        <v>37</v>
      </c>
      <c r="U352" s="4">
        <f t="shared" si="33"/>
        <v>10027</v>
      </c>
      <c r="V352" s="4">
        <f t="shared" si="35"/>
        <v>1067376</v>
      </c>
    </row>
    <row r="353" spans="1:22" x14ac:dyDescent="0.25">
      <c r="A353" s="1">
        <v>365</v>
      </c>
      <c r="B353" s="2">
        <v>45454</v>
      </c>
      <c r="C353">
        <v>0</v>
      </c>
      <c r="D353">
        <v>88833</v>
      </c>
      <c r="E353">
        <v>89553</v>
      </c>
      <c r="F353">
        <v>88738</v>
      </c>
      <c r="G353">
        <v>89371</v>
      </c>
      <c r="H353">
        <v>635337</v>
      </c>
      <c r="I353">
        <v>863.11</v>
      </c>
      <c r="J353">
        <v>1</v>
      </c>
      <c r="K353">
        <v>0</v>
      </c>
      <c r="L353">
        <v>289</v>
      </c>
      <c r="M353">
        <v>578</v>
      </c>
      <c r="N353">
        <v>0</v>
      </c>
      <c r="O353">
        <v>289</v>
      </c>
      <c r="P353">
        <v>289</v>
      </c>
      <c r="Q353">
        <f t="shared" si="30"/>
        <v>2024</v>
      </c>
      <c r="R353">
        <f t="shared" si="31"/>
        <v>6</v>
      </c>
      <c r="S353" s="4">
        <f t="shared" si="32"/>
        <v>279</v>
      </c>
      <c r="T353">
        <f t="shared" si="34"/>
        <v>36</v>
      </c>
      <c r="U353" s="4">
        <f t="shared" si="33"/>
        <v>10044</v>
      </c>
      <c r="V353" s="4">
        <f t="shared" si="35"/>
        <v>1077420</v>
      </c>
    </row>
    <row r="354" spans="1:22" x14ac:dyDescent="0.25">
      <c r="A354" s="1">
        <v>366</v>
      </c>
      <c r="B354" s="2">
        <v>45456</v>
      </c>
      <c r="C354">
        <v>0</v>
      </c>
      <c r="D354">
        <v>88999</v>
      </c>
      <c r="E354">
        <v>89250</v>
      </c>
      <c r="F354">
        <v>85888</v>
      </c>
      <c r="G354">
        <v>88848</v>
      </c>
      <c r="H354">
        <v>1398426</v>
      </c>
      <c r="I354">
        <v>1050.24</v>
      </c>
      <c r="J354">
        <v>0</v>
      </c>
      <c r="K354">
        <v>1</v>
      </c>
      <c r="L354">
        <v>288</v>
      </c>
      <c r="M354">
        <v>575</v>
      </c>
      <c r="N354">
        <v>-141</v>
      </c>
      <c r="O354">
        <v>0</v>
      </c>
      <c r="P354">
        <v>-141</v>
      </c>
      <c r="Q354">
        <f t="shared" si="30"/>
        <v>2024</v>
      </c>
      <c r="R354">
        <f t="shared" si="31"/>
        <v>6</v>
      </c>
      <c r="S354" s="4">
        <f t="shared" si="32"/>
        <v>-151</v>
      </c>
      <c r="T354">
        <f t="shared" si="34"/>
        <v>37</v>
      </c>
      <c r="U354" s="4">
        <f t="shared" si="33"/>
        <v>-5587</v>
      </c>
      <c r="V354" s="4">
        <f t="shared" si="35"/>
        <v>1071833</v>
      </c>
    </row>
    <row r="355" spans="1:22" x14ac:dyDescent="0.25">
      <c r="A355" s="1">
        <v>367</v>
      </c>
      <c r="B355" s="2">
        <v>45457</v>
      </c>
      <c r="C355">
        <v>0</v>
      </c>
      <c r="D355">
        <v>88848</v>
      </c>
      <c r="E355">
        <v>89433</v>
      </c>
      <c r="F355">
        <v>88639</v>
      </c>
      <c r="G355">
        <v>89140</v>
      </c>
      <c r="H355">
        <v>637033</v>
      </c>
      <c r="I355">
        <v>1031.94</v>
      </c>
      <c r="J355">
        <v>1</v>
      </c>
      <c r="K355">
        <v>0</v>
      </c>
      <c r="L355">
        <v>350</v>
      </c>
      <c r="M355">
        <v>700</v>
      </c>
      <c r="N355">
        <v>0</v>
      </c>
      <c r="O355">
        <v>-261</v>
      </c>
      <c r="P355">
        <v>-261</v>
      </c>
      <c r="Q355">
        <f t="shared" si="30"/>
        <v>2024</v>
      </c>
      <c r="R355">
        <f t="shared" si="31"/>
        <v>6</v>
      </c>
      <c r="S355" s="4">
        <f t="shared" si="32"/>
        <v>-271</v>
      </c>
      <c r="T355">
        <f t="shared" si="34"/>
        <v>30</v>
      </c>
      <c r="U355" s="4">
        <f t="shared" si="33"/>
        <v>-8130</v>
      </c>
      <c r="V355" s="4">
        <f t="shared" si="35"/>
        <v>1063703</v>
      </c>
    </row>
    <row r="356" spans="1:22" x14ac:dyDescent="0.25">
      <c r="A356" s="1">
        <v>368</v>
      </c>
      <c r="B356" s="2">
        <v>45460</v>
      </c>
      <c r="C356">
        <v>0</v>
      </c>
      <c r="D356">
        <v>89156</v>
      </c>
      <c r="E356">
        <v>89324</v>
      </c>
      <c r="F356">
        <v>87165</v>
      </c>
      <c r="G356">
        <v>87410</v>
      </c>
      <c r="H356">
        <v>714981</v>
      </c>
      <c r="I356">
        <v>1112.45</v>
      </c>
      <c r="J356">
        <v>0</v>
      </c>
      <c r="K356">
        <v>1</v>
      </c>
      <c r="L356">
        <v>344</v>
      </c>
      <c r="M356">
        <v>688</v>
      </c>
      <c r="N356">
        <v>344</v>
      </c>
      <c r="O356">
        <v>0</v>
      </c>
      <c r="P356">
        <v>344</v>
      </c>
      <c r="Q356">
        <f t="shared" si="30"/>
        <v>2024</v>
      </c>
      <c r="R356">
        <f t="shared" si="31"/>
        <v>6</v>
      </c>
      <c r="S356" s="4">
        <f t="shared" si="32"/>
        <v>334</v>
      </c>
      <c r="T356">
        <f t="shared" si="34"/>
        <v>30</v>
      </c>
      <c r="U356" s="4">
        <f t="shared" si="33"/>
        <v>10020</v>
      </c>
      <c r="V356" s="4">
        <f t="shared" si="35"/>
        <v>1073723</v>
      </c>
    </row>
    <row r="357" spans="1:22" x14ac:dyDescent="0.25">
      <c r="A357" s="1">
        <v>369</v>
      </c>
      <c r="B357" s="2">
        <v>45461</v>
      </c>
      <c r="C357">
        <v>0</v>
      </c>
      <c r="D357">
        <v>87407</v>
      </c>
      <c r="E357">
        <v>87750</v>
      </c>
      <c r="F357">
        <v>85011</v>
      </c>
      <c r="G357">
        <v>85251</v>
      </c>
      <c r="H357">
        <v>925707</v>
      </c>
      <c r="I357">
        <v>1228.6300000000001</v>
      </c>
      <c r="J357">
        <v>0</v>
      </c>
      <c r="K357">
        <v>0</v>
      </c>
      <c r="L357">
        <v>371</v>
      </c>
      <c r="M357">
        <v>742</v>
      </c>
      <c r="N357">
        <v>0</v>
      </c>
      <c r="O357">
        <v>742</v>
      </c>
      <c r="P357">
        <v>742</v>
      </c>
      <c r="Q357">
        <f t="shared" si="30"/>
        <v>2024</v>
      </c>
      <c r="R357">
        <f t="shared" si="31"/>
        <v>6</v>
      </c>
      <c r="S357" s="4">
        <f t="shared" si="32"/>
        <v>732</v>
      </c>
      <c r="T357">
        <f t="shared" si="34"/>
        <v>28</v>
      </c>
      <c r="U357" s="4">
        <f t="shared" si="33"/>
        <v>20496</v>
      </c>
      <c r="V357" s="4">
        <f t="shared" si="35"/>
        <v>1094219</v>
      </c>
    </row>
    <row r="358" spans="1:22" x14ac:dyDescent="0.25">
      <c r="A358" s="1">
        <v>370</v>
      </c>
      <c r="B358" s="2">
        <v>45462</v>
      </c>
      <c r="C358">
        <v>0</v>
      </c>
      <c r="D358">
        <v>85530</v>
      </c>
      <c r="E358">
        <v>85600</v>
      </c>
      <c r="F358">
        <v>81910</v>
      </c>
      <c r="G358">
        <v>82116</v>
      </c>
      <c r="H358">
        <v>877621</v>
      </c>
      <c r="I358">
        <v>1404.44</v>
      </c>
      <c r="J358">
        <v>0</v>
      </c>
      <c r="K358">
        <v>0</v>
      </c>
      <c r="L358">
        <v>410</v>
      </c>
      <c r="M358">
        <v>819</v>
      </c>
      <c r="N358">
        <v>0</v>
      </c>
      <c r="O358">
        <v>819</v>
      </c>
      <c r="P358">
        <v>819</v>
      </c>
      <c r="Q358">
        <f t="shared" si="30"/>
        <v>2024</v>
      </c>
      <c r="R358">
        <f t="shared" si="31"/>
        <v>6</v>
      </c>
      <c r="S358" s="4">
        <f t="shared" si="32"/>
        <v>809</v>
      </c>
      <c r="T358">
        <f t="shared" si="34"/>
        <v>26</v>
      </c>
      <c r="U358" s="4">
        <f t="shared" si="33"/>
        <v>21034</v>
      </c>
      <c r="V358" s="4">
        <f t="shared" si="35"/>
        <v>1115253</v>
      </c>
    </row>
    <row r="359" spans="1:22" x14ac:dyDescent="0.25">
      <c r="A359" s="1">
        <v>371</v>
      </c>
      <c r="B359" s="2">
        <v>45463</v>
      </c>
      <c r="C359">
        <v>0</v>
      </c>
      <c r="D359">
        <v>82100</v>
      </c>
      <c r="E359">
        <v>87888</v>
      </c>
      <c r="F359">
        <v>81536</v>
      </c>
      <c r="G359">
        <v>87617</v>
      </c>
      <c r="H359">
        <v>1320477</v>
      </c>
      <c r="I359">
        <v>1757.84</v>
      </c>
      <c r="J359">
        <v>1</v>
      </c>
      <c r="K359">
        <v>0</v>
      </c>
      <c r="L359">
        <v>468</v>
      </c>
      <c r="M359">
        <v>936</v>
      </c>
      <c r="N359">
        <v>0</v>
      </c>
      <c r="O359">
        <v>468</v>
      </c>
      <c r="P359">
        <v>468</v>
      </c>
      <c r="Q359">
        <f t="shared" si="30"/>
        <v>2024</v>
      </c>
      <c r="R359">
        <f t="shared" si="31"/>
        <v>6</v>
      </c>
      <c r="S359" s="4">
        <f t="shared" si="32"/>
        <v>458</v>
      </c>
      <c r="T359">
        <f t="shared" si="34"/>
        <v>23</v>
      </c>
      <c r="U359" s="4">
        <f t="shared" si="33"/>
        <v>10534</v>
      </c>
      <c r="V359" s="4">
        <f t="shared" si="35"/>
        <v>1125787</v>
      </c>
    </row>
    <row r="360" spans="1:22" x14ac:dyDescent="0.25">
      <c r="A360" s="1">
        <v>372</v>
      </c>
      <c r="B360" s="2">
        <v>45464</v>
      </c>
      <c r="C360">
        <v>0</v>
      </c>
      <c r="D360">
        <v>87604</v>
      </c>
      <c r="E360">
        <v>88990</v>
      </c>
      <c r="F360">
        <v>85650</v>
      </c>
      <c r="G360">
        <v>86984</v>
      </c>
      <c r="H360">
        <v>1175816</v>
      </c>
      <c r="I360">
        <v>1870.85</v>
      </c>
      <c r="J360">
        <v>0</v>
      </c>
      <c r="K360">
        <v>1</v>
      </c>
      <c r="L360">
        <v>586</v>
      </c>
      <c r="M360">
        <v>1172</v>
      </c>
      <c r="N360">
        <v>586</v>
      </c>
      <c r="O360">
        <v>0</v>
      </c>
      <c r="P360">
        <v>586</v>
      </c>
      <c r="Q360">
        <f t="shared" si="30"/>
        <v>2024</v>
      </c>
      <c r="R360">
        <f t="shared" si="31"/>
        <v>6</v>
      </c>
      <c r="S360" s="4">
        <f t="shared" si="32"/>
        <v>576</v>
      </c>
      <c r="T360">
        <f t="shared" si="34"/>
        <v>19</v>
      </c>
      <c r="U360" s="4">
        <f t="shared" si="33"/>
        <v>10944</v>
      </c>
      <c r="V360" s="4">
        <f t="shared" si="35"/>
        <v>1136731</v>
      </c>
    </row>
    <row r="361" spans="1:22" x14ac:dyDescent="0.25">
      <c r="A361" s="1">
        <v>373</v>
      </c>
      <c r="B361" s="2">
        <v>45467</v>
      </c>
      <c r="C361">
        <v>0</v>
      </c>
      <c r="D361">
        <v>86900</v>
      </c>
      <c r="E361">
        <v>87650</v>
      </c>
      <c r="F361">
        <v>85280</v>
      </c>
      <c r="G361">
        <v>85400</v>
      </c>
      <c r="H361">
        <v>742800</v>
      </c>
      <c r="I361">
        <v>1906.5</v>
      </c>
      <c r="J361">
        <v>0</v>
      </c>
      <c r="K361">
        <v>0</v>
      </c>
      <c r="L361">
        <v>624</v>
      </c>
      <c r="M361">
        <v>1247</v>
      </c>
      <c r="N361">
        <v>0</v>
      </c>
      <c r="O361">
        <v>1247</v>
      </c>
      <c r="P361">
        <v>1247</v>
      </c>
      <c r="Q361">
        <f t="shared" si="30"/>
        <v>2024</v>
      </c>
      <c r="R361">
        <f t="shared" si="31"/>
        <v>6</v>
      </c>
      <c r="S361" s="4">
        <f t="shared" si="32"/>
        <v>1237</v>
      </c>
      <c r="T361">
        <f t="shared" si="34"/>
        <v>18</v>
      </c>
      <c r="U361" s="4">
        <f t="shared" si="33"/>
        <v>22266</v>
      </c>
      <c r="V361" s="4">
        <f t="shared" si="35"/>
        <v>1158997</v>
      </c>
    </row>
    <row r="362" spans="1:22" x14ac:dyDescent="0.25">
      <c r="A362" s="1">
        <v>374</v>
      </c>
      <c r="B362" s="2">
        <v>45468</v>
      </c>
      <c r="C362">
        <v>0</v>
      </c>
      <c r="D362">
        <v>85427</v>
      </c>
      <c r="E362">
        <v>87070</v>
      </c>
      <c r="F362">
        <v>85101</v>
      </c>
      <c r="G362">
        <v>86862</v>
      </c>
      <c r="H362">
        <v>612905</v>
      </c>
      <c r="I362">
        <v>1910.97</v>
      </c>
      <c r="J362">
        <v>1</v>
      </c>
      <c r="K362">
        <v>0</v>
      </c>
      <c r="L362">
        <v>636</v>
      </c>
      <c r="M362">
        <v>1271</v>
      </c>
      <c r="N362">
        <v>0</v>
      </c>
      <c r="O362">
        <v>636</v>
      </c>
      <c r="P362">
        <v>636</v>
      </c>
      <c r="Q362">
        <f t="shared" si="30"/>
        <v>2024</v>
      </c>
      <c r="R362">
        <f t="shared" si="31"/>
        <v>6</v>
      </c>
      <c r="S362" s="4">
        <f t="shared" si="32"/>
        <v>626</v>
      </c>
      <c r="T362">
        <f t="shared" si="34"/>
        <v>18</v>
      </c>
      <c r="U362" s="4">
        <f t="shared" si="33"/>
        <v>11268</v>
      </c>
      <c r="V362" s="4">
        <f t="shared" si="35"/>
        <v>1170265</v>
      </c>
    </row>
    <row r="363" spans="1:22" x14ac:dyDescent="0.25">
      <c r="A363" s="1">
        <v>375</v>
      </c>
      <c r="B363" s="2">
        <v>45469</v>
      </c>
      <c r="C363">
        <v>0</v>
      </c>
      <c r="D363">
        <v>86961</v>
      </c>
      <c r="E363">
        <v>87416</v>
      </c>
      <c r="F363">
        <v>85503</v>
      </c>
      <c r="G363">
        <v>85715</v>
      </c>
      <c r="H363">
        <v>609336</v>
      </c>
      <c r="I363">
        <v>1911.11</v>
      </c>
      <c r="J363">
        <v>0</v>
      </c>
      <c r="K363">
        <v>1</v>
      </c>
      <c r="L363">
        <v>637</v>
      </c>
      <c r="M363">
        <v>1274</v>
      </c>
      <c r="N363">
        <v>637</v>
      </c>
      <c r="O363">
        <v>0</v>
      </c>
      <c r="P363">
        <v>637</v>
      </c>
      <c r="Q363">
        <f t="shared" si="30"/>
        <v>2024</v>
      </c>
      <c r="R363">
        <f t="shared" si="31"/>
        <v>6</v>
      </c>
      <c r="S363" s="4">
        <f t="shared" si="32"/>
        <v>627</v>
      </c>
      <c r="T363">
        <f t="shared" si="34"/>
        <v>18</v>
      </c>
      <c r="U363" s="4">
        <f t="shared" si="33"/>
        <v>11286</v>
      </c>
      <c r="V363" s="4">
        <f t="shared" si="35"/>
        <v>1181551</v>
      </c>
    </row>
    <row r="364" spans="1:22" x14ac:dyDescent="0.25">
      <c r="A364" s="1">
        <v>376</v>
      </c>
      <c r="B364" s="2">
        <v>45470</v>
      </c>
      <c r="C364">
        <v>0</v>
      </c>
      <c r="D364">
        <v>85697</v>
      </c>
      <c r="E364">
        <v>86322</v>
      </c>
      <c r="F364">
        <v>84141</v>
      </c>
      <c r="G364">
        <v>85641</v>
      </c>
      <c r="H364">
        <v>817871</v>
      </c>
      <c r="I364">
        <v>1930.39</v>
      </c>
      <c r="J364">
        <v>0</v>
      </c>
      <c r="K364">
        <v>0</v>
      </c>
      <c r="L364">
        <v>637</v>
      </c>
      <c r="M364">
        <v>1274</v>
      </c>
      <c r="N364">
        <v>0</v>
      </c>
      <c r="O364">
        <v>153</v>
      </c>
      <c r="P364">
        <v>153</v>
      </c>
      <c r="Q364">
        <f t="shared" si="30"/>
        <v>2024</v>
      </c>
      <c r="R364">
        <f t="shared" si="31"/>
        <v>6</v>
      </c>
      <c r="S364" s="4">
        <f t="shared" si="32"/>
        <v>143</v>
      </c>
      <c r="T364">
        <f t="shared" si="34"/>
        <v>18</v>
      </c>
      <c r="U364" s="4">
        <f t="shared" si="33"/>
        <v>2574</v>
      </c>
      <c r="V364" s="4">
        <f t="shared" si="35"/>
        <v>1184125</v>
      </c>
    </row>
    <row r="365" spans="1:22" x14ac:dyDescent="0.25">
      <c r="A365" s="1">
        <v>377</v>
      </c>
      <c r="B365" s="2">
        <v>45471</v>
      </c>
      <c r="C365">
        <v>0</v>
      </c>
      <c r="D365">
        <v>85640</v>
      </c>
      <c r="E365">
        <v>87295</v>
      </c>
      <c r="F365">
        <v>85214</v>
      </c>
      <c r="G365">
        <v>87130</v>
      </c>
      <c r="H365">
        <v>789270</v>
      </c>
      <c r="I365">
        <v>1941.15</v>
      </c>
      <c r="J365">
        <v>1</v>
      </c>
      <c r="K365">
        <v>0</v>
      </c>
      <c r="L365">
        <v>643</v>
      </c>
      <c r="M365">
        <v>1287</v>
      </c>
      <c r="N365">
        <v>0</v>
      </c>
      <c r="O365">
        <v>643</v>
      </c>
      <c r="P365">
        <v>643</v>
      </c>
      <c r="Q365">
        <f t="shared" si="30"/>
        <v>2024</v>
      </c>
      <c r="R365">
        <f t="shared" si="31"/>
        <v>6</v>
      </c>
      <c r="S365" s="4">
        <f t="shared" si="32"/>
        <v>633</v>
      </c>
      <c r="T365">
        <f t="shared" si="34"/>
        <v>18</v>
      </c>
      <c r="U365" s="4">
        <f t="shared" si="33"/>
        <v>11394</v>
      </c>
      <c r="V365" s="4">
        <f t="shared" si="35"/>
        <v>1195519</v>
      </c>
    </row>
    <row r="366" spans="1:22" x14ac:dyDescent="0.25">
      <c r="A366" s="1">
        <v>378</v>
      </c>
      <c r="B366" s="2">
        <v>45474</v>
      </c>
      <c r="C366">
        <v>0</v>
      </c>
      <c r="D366">
        <v>87201</v>
      </c>
      <c r="E366">
        <v>87800</v>
      </c>
      <c r="F366">
        <v>86911</v>
      </c>
      <c r="G366">
        <v>87702</v>
      </c>
      <c r="H366">
        <v>564416</v>
      </c>
      <c r="I366">
        <v>1865.99</v>
      </c>
      <c r="J366">
        <v>1</v>
      </c>
      <c r="K366">
        <v>1</v>
      </c>
      <c r="L366">
        <v>647</v>
      </c>
      <c r="M366">
        <v>1294</v>
      </c>
      <c r="N366">
        <v>471</v>
      </c>
      <c r="O366">
        <v>0</v>
      </c>
      <c r="P366">
        <v>471</v>
      </c>
      <c r="Q366">
        <f t="shared" si="30"/>
        <v>2024</v>
      </c>
      <c r="R366">
        <f t="shared" si="31"/>
        <v>7</v>
      </c>
      <c r="S366" s="4">
        <f t="shared" si="32"/>
        <v>461</v>
      </c>
      <c r="T366">
        <f t="shared" si="34"/>
        <v>18</v>
      </c>
      <c r="U366" s="4">
        <f t="shared" si="33"/>
        <v>8298</v>
      </c>
      <c r="V366" s="4">
        <f t="shared" si="35"/>
        <v>1203817</v>
      </c>
    </row>
    <row r="367" spans="1:22" x14ac:dyDescent="0.25">
      <c r="A367" s="1">
        <v>379</v>
      </c>
      <c r="B367" s="2">
        <v>45475</v>
      </c>
      <c r="C367">
        <v>0</v>
      </c>
      <c r="D367">
        <v>87749</v>
      </c>
      <c r="E367">
        <v>88579</v>
      </c>
      <c r="F367">
        <v>87300</v>
      </c>
      <c r="G367">
        <v>87575</v>
      </c>
      <c r="H367">
        <v>715333</v>
      </c>
      <c r="I367">
        <v>1824.07</v>
      </c>
      <c r="J367">
        <v>0</v>
      </c>
      <c r="K367">
        <v>1</v>
      </c>
      <c r="L367">
        <v>622</v>
      </c>
      <c r="M367">
        <v>1244</v>
      </c>
      <c r="N367">
        <v>-148</v>
      </c>
      <c r="O367">
        <v>0</v>
      </c>
      <c r="P367">
        <v>-148</v>
      </c>
      <c r="Q367">
        <f t="shared" si="30"/>
        <v>2024</v>
      </c>
      <c r="R367">
        <f t="shared" si="31"/>
        <v>7</v>
      </c>
      <c r="S367" s="4">
        <f t="shared" si="32"/>
        <v>-158</v>
      </c>
      <c r="T367">
        <f t="shared" si="34"/>
        <v>19</v>
      </c>
      <c r="U367" s="4">
        <f t="shared" si="33"/>
        <v>-3002</v>
      </c>
      <c r="V367" s="4">
        <f t="shared" si="35"/>
        <v>1200815</v>
      </c>
    </row>
    <row r="368" spans="1:22" x14ac:dyDescent="0.25">
      <c r="A368" s="1">
        <v>380</v>
      </c>
      <c r="B368" s="2">
        <v>45476</v>
      </c>
      <c r="C368">
        <v>0</v>
      </c>
      <c r="D368">
        <v>87492</v>
      </c>
      <c r="E368">
        <v>88940</v>
      </c>
      <c r="F368">
        <v>87351</v>
      </c>
      <c r="G368">
        <v>88628</v>
      </c>
      <c r="H368">
        <v>574324</v>
      </c>
      <c r="I368">
        <v>1807.28</v>
      </c>
      <c r="J368">
        <v>1</v>
      </c>
      <c r="K368">
        <v>0</v>
      </c>
      <c r="L368">
        <v>608</v>
      </c>
      <c r="M368">
        <v>1216</v>
      </c>
      <c r="N368">
        <v>0</v>
      </c>
      <c r="O368">
        <v>608</v>
      </c>
      <c r="P368">
        <v>608</v>
      </c>
      <c r="Q368">
        <f t="shared" si="30"/>
        <v>2024</v>
      </c>
      <c r="R368">
        <f t="shared" si="31"/>
        <v>7</v>
      </c>
      <c r="S368" s="4">
        <f t="shared" si="32"/>
        <v>598</v>
      </c>
      <c r="T368">
        <f t="shared" si="34"/>
        <v>19</v>
      </c>
      <c r="U368" s="4">
        <f t="shared" si="33"/>
        <v>11362</v>
      </c>
      <c r="V368" s="4">
        <f t="shared" si="35"/>
        <v>1212177</v>
      </c>
    </row>
    <row r="369" spans="1:22" x14ac:dyDescent="0.25">
      <c r="A369" s="1">
        <v>381</v>
      </c>
      <c r="B369" s="2">
        <v>45477</v>
      </c>
      <c r="C369">
        <v>0</v>
      </c>
      <c r="D369">
        <v>88628</v>
      </c>
      <c r="E369">
        <v>89817</v>
      </c>
      <c r="F369">
        <v>88628</v>
      </c>
      <c r="G369">
        <v>89581</v>
      </c>
      <c r="H369">
        <v>440345</v>
      </c>
      <c r="I369">
        <v>1763.11</v>
      </c>
      <c r="J369">
        <v>1</v>
      </c>
      <c r="K369">
        <v>1</v>
      </c>
      <c r="L369">
        <v>602</v>
      </c>
      <c r="M369">
        <v>1205</v>
      </c>
      <c r="N369">
        <v>1063</v>
      </c>
      <c r="O369">
        <v>0</v>
      </c>
      <c r="P369">
        <v>1063</v>
      </c>
      <c r="Q369">
        <f t="shared" si="30"/>
        <v>2024</v>
      </c>
      <c r="R369">
        <f t="shared" si="31"/>
        <v>7</v>
      </c>
      <c r="S369" s="4">
        <f t="shared" si="32"/>
        <v>1053</v>
      </c>
      <c r="T369">
        <f t="shared" si="34"/>
        <v>20</v>
      </c>
      <c r="U369" s="4">
        <f t="shared" si="33"/>
        <v>21060</v>
      </c>
      <c r="V369" s="4">
        <f t="shared" si="35"/>
        <v>1233237</v>
      </c>
    </row>
    <row r="370" spans="1:22" x14ac:dyDescent="0.25">
      <c r="A370" s="1">
        <v>382</v>
      </c>
      <c r="B370" s="2">
        <v>45478</v>
      </c>
      <c r="C370">
        <v>0</v>
      </c>
      <c r="D370">
        <v>89585</v>
      </c>
      <c r="E370">
        <v>89800</v>
      </c>
      <c r="F370">
        <v>88100</v>
      </c>
      <c r="G370">
        <v>89102</v>
      </c>
      <c r="H370">
        <v>650629</v>
      </c>
      <c r="I370">
        <v>1758.61</v>
      </c>
      <c r="J370">
        <v>0</v>
      </c>
      <c r="K370">
        <v>1</v>
      </c>
      <c r="L370">
        <v>588</v>
      </c>
      <c r="M370">
        <v>1175</v>
      </c>
      <c r="N370">
        <v>-548</v>
      </c>
      <c r="O370">
        <v>0</v>
      </c>
      <c r="P370">
        <v>-548</v>
      </c>
      <c r="Q370">
        <f t="shared" si="30"/>
        <v>2024</v>
      </c>
      <c r="R370">
        <f t="shared" si="31"/>
        <v>7</v>
      </c>
      <c r="S370" s="4">
        <f t="shared" si="32"/>
        <v>-558</v>
      </c>
      <c r="T370">
        <f t="shared" si="34"/>
        <v>20</v>
      </c>
      <c r="U370" s="4">
        <f t="shared" si="33"/>
        <v>-11160</v>
      </c>
      <c r="V370" s="4">
        <f t="shared" si="35"/>
        <v>1222077</v>
      </c>
    </row>
    <row r="371" spans="1:22" x14ac:dyDescent="0.25">
      <c r="A371" s="1">
        <v>383</v>
      </c>
      <c r="B371" s="2">
        <v>45481</v>
      </c>
      <c r="C371">
        <v>0</v>
      </c>
      <c r="D371">
        <v>89103</v>
      </c>
      <c r="E371">
        <v>89637</v>
      </c>
      <c r="F371">
        <v>88406</v>
      </c>
      <c r="G371">
        <v>88678</v>
      </c>
      <c r="H371">
        <v>501137</v>
      </c>
      <c r="I371">
        <v>1720.92</v>
      </c>
      <c r="J371">
        <v>0</v>
      </c>
      <c r="K371">
        <v>0</v>
      </c>
      <c r="L371">
        <v>586</v>
      </c>
      <c r="M371">
        <v>1172</v>
      </c>
      <c r="N371">
        <v>0</v>
      </c>
      <c r="O371">
        <v>385</v>
      </c>
      <c r="P371">
        <v>385</v>
      </c>
      <c r="Q371">
        <f t="shared" si="30"/>
        <v>2024</v>
      </c>
      <c r="R371">
        <f t="shared" si="31"/>
        <v>7</v>
      </c>
      <c r="S371" s="4">
        <f t="shared" si="32"/>
        <v>375</v>
      </c>
      <c r="T371">
        <f t="shared" si="34"/>
        <v>20</v>
      </c>
      <c r="U371" s="4">
        <f t="shared" si="33"/>
        <v>7500</v>
      </c>
      <c r="V371" s="4">
        <f t="shared" si="35"/>
        <v>1229577</v>
      </c>
    </row>
    <row r="372" spans="1:22" x14ac:dyDescent="0.25">
      <c r="A372" s="1">
        <v>384</v>
      </c>
      <c r="B372" s="2">
        <v>45482</v>
      </c>
      <c r="C372">
        <v>0</v>
      </c>
      <c r="D372">
        <v>88698</v>
      </c>
      <c r="E372">
        <v>89041</v>
      </c>
      <c r="F372">
        <v>87576</v>
      </c>
      <c r="G372">
        <v>87970</v>
      </c>
      <c r="H372">
        <v>629893</v>
      </c>
      <c r="I372">
        <v>1702.64</v>
      </c>
      <c r="J372">
        <v>0</v>
      </c>
      <c r="K372">
        <v>0</v>
      </c>
      <c r="L372">
        <v>574</v>
      </c>
      <c r="M372">
        <v>1147</v>
      </c>
      <c r="N372">
        <v>0</v>
      </c>
      <c r="O372">
        <v>748</v>
      </c>
      <c r="P372">
        <v>748</v>
      </c>
      <c r="Q372">
        <f t="shared" si="30"/>
        <v>2024</v>
      </c>
      <c r="R372">
        <f t="shared" si="31"/>
        <v>7</v>
      </c>
      <c r="S372" s="4">
        <f t="shared" si="32"/>
        <v>738</v>
      </c>
      <c r="T372">
        <f t="shared" si="34"/>
        <v>21</v>
      </c>
      <c r="U372" s="4">
        <f t="shared" si="33"/>
        <v>15498</v>
      </c>
      <c r="V372" s="4">
        <f t="shared" si="35"/>
        <v>1245075</v>
      </c>
    </row>
    <row r="373" spans="1:22" x14ac:dyDescent="0.25">
      <c r="A373" s="1">
        <v>385</v>
      </c>
      <c r="B373" s="2">
        <v>45483</v>
      </c>
      <c r="C373">
        <v>0</v>
      </c>
      <c r="D373">
        <v>88018</v>
      </c>
      <c r="E373">
        <v>89176</v>
      </c>
      <c r="F373">
        <v>87805</v>
      </c>
      <c r="G373">
        <v>88975</v>
      </c>
      <c r="H373">
        <v>554886</v>
      </c>
      <c r="I373">
        <v>1678.95</v>
      </c>
      <c r="J373">
        <v>1</v>
      </c>
      <c r="K373">
        <v>0</v>
      </c>
      <c r="L373">
        <v>568</v>
      </c>
      <c r="M373">
        <v>1135</v>
      </c>
      <c r="N373">
        <v>0</v>
      </c>
      <c r="O373">
        <v>-961</v>
      </c>
      <c r="P373">
        <v>-961</v>
      </c>
      <c r="Q373">
        <f t="shared" si="30"/>
        <v>2024</v>
      </c>
      <c r="R373">
        <f t="shared" si="31"/>
        <v>7</v>
      </c>
      <c r="S373" s="4">
        <f t="shared" si="32"/>
        <v>-971</v>
      </c>
      <c r="T373">
        <f t="shared" si="34"/>
        <v>21</v>
      </c>
      <c r="U373" s="4">
        <f t="shared" si="33"/>
        <v>-20391</v>
      </c>
      <c r="V373" s="4">
        <f t="shared" si="35"/>
        <v>1224684</v>
      </c>
    </row>
    <row r="374" spans="1:22" x14ac:dyDescent="0.25">
      <c r="A374" s="1">
        <v>386</v>
      </c>
      <c r="B374" s="2">
        <v>45484</v>
      </c>
      <c r="C374">
        <v>0</v>
      </c>
      <c r="D374">
        <v>88975</v>
      </c>
      <c r="E374">
        <v>89374</v>
      </c>
      <c r="F374">
        <v>88531</v>
      </c>
      <c r="G374">
        <v>88673</v>
      </c>
      <c r="H374">
        <v>525607</v>
      </c>
      <c r="I374">
        <v>1619.24</v>
      </c>
      <c r="J374">
        <v>0</v>
      </c>
      <c r="K374">
        <v>1</v>
      </c>
      <c r="L374">
        <v>560</v>
      </c>
      <c r="M374">
        <v>1119</v>
      </c>
      <c r="N374">
        <v>-333</v>
      </c>
      <c r="O374">
        <v>0</v>
      </c>
      <c r="P374">
        <v>-333</v>
      </c>
      <c r="Q374">
        <f t="shared" si="30"/>
        <v>2024</v>
      </c>
      <c r="R374">
        <f t="shared" si="31"/>
        <v>7</v>
      </c>
      <c r="S374" s="4">
        <f t="shared" si="32"/>
        <v>-343</v>
      </c>
      <c r="T374">
        <f t="shared" si="34"/>
        <v>21</v>
      </c>
      <c r="U374" s="4">
        <f t="shared" si="33"/>
        <v>-7203</v>
      </c>
      <c r="V374" s="4">
        <f t="shared" si="35"/>
        <v>1217481</v>
      </c>
    </row>
    <row r="375" spans="1:22" x14ac:dyDescent="0.25">
      <c r="A375" s="1">
        <v>387</v>
      </c>
      <c r="B375" s="2">
        <v>45485</v>
      </c>
      <c r="C375">
        <v>0</v>
      </c>
      <c r="D375">
        <v>88681</v>
      </c>
      <c r="E375">
        <v>89144</v>
      </c>
      <c r="F375">
        <v>88596</v>
      </c>
      <c r="G375">
        <v>88810</v>
      </c>
      <c r="H375">
        <v>398444</v>
      </c>
      <c r="I375">
        <v>1542.72</v>
      </c>
      <c r="J375">
        <v>1</v>
      </c>
      <c r="K375">
        <v>0</v>
      </c>
      <c r="L375">
        <v>540</v>
      </c>
      <c r="M375">
        <v>1079</v>
      </c>
      <c r="N375">
        <v>0</v>
      </c>
      <c r="O375">
        <v>-116</v>
      </c>
      <c r="P375">
        <v>-116</v>
      </c>
      <c r="Q375">
        <f t="shared" si="30"/>
        <v>2024</v>
      </c>
      <c r="R375">
        <f t="shared" si="31"/>
        <v>7</v>
      </c>
      <c r="S375" s="4">
        <f t="shared" si="32"/>
        <v>-126</v>
      </c>
      <c r="T375">
        <f t="shared" si="34"/>
        <v>22</v>
      </c>
      <c r="U375" s="4">
        <f t="shared" si="33"/>
        <v>-2772</v>
      </c>
      <c r="V375" s="4">
        <f t="shared" si="35"/>
        <v>1214709</v>
      </c>
    </row>
    <row r="376" spans="1:22" x14ac:dyDescent="0.25">
      <c r="A376" s="1">
        <v>388</v>
      </c>
      <c r="B376" s="2">
        <v>45488</v>
      </c>
      <c r="C376">
        <v>0</v>
      </c>
      <c r="D376">
        <v>88901</v>
      </c>
      <c r="E376">
        <v>89335</v>
      </c>
      <c r="F376">
        <v>88035</v>
      </c>
      <c r="G376">
        <v>89129</v>
      </c>
      <c r="H376">
        <v>640644</v>
      </c>
      <c r="I376">
        <v>1525.39</v>
      </c>
      <c r="J376">
        <v>1</v>
      </c>
      <c r="K376">
        <v>1</v>
      </c>
      <c r="L376">
        <v>514</v>
      </c>
      <c r="M376">
        <v>1028</v>
      </c>
      <c r="N376">
        <v>367</v>
      </c>
      <c r="O376">
        <v>0</v>
      </c>
      <c r="P376">
        <v>367</v>
      </c>
      <c r="Q376">
        <f t="shared" si="30"/>
        <v>2024</v>
      </c>
      <c r="R376">
        <f t="shared" si="31"/>
        <v>7</v>
      </c>
      <c r="S376" s="4">
        <f t="shared" si="32"/>
        <v>357</v>
      </c>
      <c r="T376">
        <f t="shared" si="34"/>
        <v>23</v>
      </c>
      <c r="U376" s="4">
        <f t="shared" si="33"/>
        <v>8211</v>
      </c>
      <c r="V376" s="4">
        <f t="shared" si="35"/>
        <v>1222920</v>
      </c>
    </row>
    <row r="377" spans="1:22" x14ac:dyDescent="0.25">
      <c r="A377" s="1">
        <v>389</v>
      </c>
      <c r="B377" s="2">
        <v>45489</v>
      </c>
      <c r="C377">
        <v>0</v>
      </c>
      <c r="D377">
        <v>89128</v>
      </c>
      <c r="E377">
        <v>89350</v>
      </c>
      <c r="F377">
        <v>88525</v>
      </c>
      <c r="G377">
        <v>88816</v>
      </c>
      <c r="H377">
        <v>422395</v>
      </c>
      <c r="I377">
        <v>1475.36</v>
      </c>
      <c r="J377">
        <v>0</v>
      </c>
      <c r="K377">
        <v>1</v>
      </c>
      <c r="L377">
        <v>508</v>
      </c>
      <c r="M377">
        <v>1017</v>
      </c>
      <c r="N377">
        <v>-168</v>
      </c>
      <c r="O377">
        <v>0</v>
      </c>
      <c r="P377">
        <v>-168</v>
      </c>
      <c r="Q377">
        <f t="shared" si="30"/>
        <v>2024</v>
      </c>
      <c r="R377">
        <f t="shared" si="31"/>
        <v>7</v>
      </c>
      <c r="S377" s="4">
        <f t="shared" si="32"/>
        <v>-178</v>
      </c>
      <c r="T377">
        <f t="shared" si="34"/>
        <v>24</v>
      </c>
      <c r="U377" s="4">
        <f t="shared" si="33"/>
        <v>-4272</v>
      </c>
      <c r="V377" s="4">
        <f t="shared" si="35"/>
        <v>1218648</v>
      </c>
    </row>
    <row r="378" spans="1:22" x14ac:dyDescent="0.25">
      <c r="A378" s="1">
        <v>390</v>
      </c>
      <c r="B378" s="2">
        <v>45490</v>
      </c>
      <c r="C378">
        <v>0</v>
      </c>
      <c r="D378">
        <v>88855</v>
      </c>
      <c r="E378">
        <v>89070</v>
      </c>
      <c r="F378">
        <v>87904</v>
      </c>
      <c r="G378">
        <v>87904</v>
      </c>
      <c r="H378">
        <v>411739</v>
      </c>
      <c r="I378">
        <v>1453.26</v>
      </c>
      <c r="J378">
        <v>0</v>
      </c>
      <c r="K378">
        <v>0</v>
      </c>
      <c r="L378">
        <v>492</v>
      </c>
      <c r="M378">
        <v>984</v>
      </c>
      <c r="N378">
        <v>0</v>
      </c>
      <c r="O378">
        <v>841</v>
      </c>
      <c r="P378">
        <v>841</v>
      </c>
      <c r="Q378">
        <f t="shared" si="30"/>
        <v>2024</v>
      </c>
      <c r="R378">
        <f t="shared" si="31"/>
        <v>7</v>
      </c>
      <c r="S378" s="4">
        <f t="shared" si="32"/>
        <v>831</v>
      </c>
      <c r="T378">
        <f t="shared" si="34"/>
        <v>24</v>
      </c>
      <c r="U378" s="4">
        <f t="shared" si="33"/>
        <v>19944</v>
      </c>
      <c r="V378" s="4">
        <f t="shared" si="35"/>
        <v>1238592</v>
      </c>
    </row>
    <row r="379" spans="1:22" x14ac:dyDescent="0.25">
      <c r="A379" s="1">
        <v>391</v>
      </c>
      <c r="B379" s="2">
        <v>45491</v>
      </c>
      <c r="C379">
        <v>0</v>
      </c>
      <c r="D379">
        <v>87967</v>
      </c>
      <c r="E379">
        <v>88465</v>
      </c>
      <c r="F379">
        <v>87808</v>
      </c>
      <c r="G379">
        <v>88440</v>
      </c>
      <c r="H379">
        <v>449881</v>
      </c>
      <c r="I379">
        <v>1396.39</v>
      </c>
      <c r="J379">
        <v>1</v>
      </c>
      <c r="K379">
        <v>0</v>
      </c>
      <c r="L379">
        <v>484</v>
      </c>
      <c r="M379">
        <v>969</v>
      </c>
      <c r="N379">
        <v>0</v>
      </c>
      <c r="O379">
        <v>-435</v>
      </c>
      <c r="P379">
        <v>-435</v>
      </c>
      <c r="Q379">
        <f t="shared" si="30"/>
        <v>2024</v>
      </c>
      <c r="R379">
        <f t="shared" si="31"/>
        <v>7</v>
      </c>
      <c r="S379" s="4">
        <f t="shared" si="32"/>
        <v>-445</v>
      </c>
      <c r="T379">
        <f t="shared" si="34"/>
        <v>25</v>
      </c>
      <c r="U379" s="4">
        <f t="shared" si="33"/>
        <v>-11125</v>
      </c>
      <c r="V379" s="4">
        <f t="shared" si="35"/>
        <v>1227467</v>
      </c>
    </row>
    <row r="380" spans="1:22" x14ac:dyDescent="0.25">
      <c r="A380" s="1">
        <v>392</v>
      </c>
      <c r="B380" s="2">
        <v>45492</v>
      </c>
      <c r="C380">
        <v>0</v>
      </c>
      <c r="D380">
        <v>88461</v>
      </c>
      <c r="E380">
        <v>88845</v>
      </c>
      <c r="F380">
        <v>87762</v>
      </c>
      <c r="G380">
        <v>87959</v>
      </c>
      <c r="H380">
        <v>445314</v>
      </c>
      <c r="I380">
        <v>1374</v>
      </c>
      <c r="J380">
        <v>0</v>
      </c>
      <c r="K380">
        <v>1</v>
      </c>
      <c r="L380">
        <v>465</v>
      </c>
      <c r="M380">
        <v>931</v>
      </c>
      <c r="N380">
        <v>465</v>
      </c>
      <c r="O380">
        <v>0</v>
      </c>
      <c r="P380">
        <v>465</v>
      </c>
      <c r="Q380">
        <f t="shared" si="30"/>
        <v>2024</v>
      </c>
      <c r="R380">
        <f t="shared" si="31"/>
        <v>7</v>
      </c>
      <c r="S380" s="4">
        <f t="shared" si="32"/>
        <v>455</v>
      </c>
      <c r="T380">
        <f t="shared" si="34"/>
        <v>26</v>
      </c>
      <c r="U380" s="4">
        <f t="shared" si="33"/>
        <v>11830</v>
      </c>
      <c r="V380" s="4">
        <f t="shared" si="35"/>
        <v>1239297</v>
      </c>
    </row>
    <row r="381" spans="1:22" x14ac:dyDescent="0.25">
      <c r="A381" s="1">
        <v>393</v>
      </c>
      <c r="B381" s="2">
        <v>45495</v>
      </c>
      <c r="C381">
        <v>0</v>
      </c>
      <c r="D381">
        <v>87940</v>
      </c>
      <c r="E381">
        <v>88523</v>
      </c>
      <c r="F381">
        <v>87732</v>
      </c>
      <c r="G381">
        <v>88445</v>
      </c>
      <c r="H381">
        <v>364028</v>
      </c>
      <c r="I381">
        <v>1332.36</v>
      </c>
      <c r="J381">
        <v>1</v>
      </c>
      <c r="K381">
        <v>0</v>
      </c>
      <c r="L381">
        <v>458</v>
      </c>
      <c r="M381">
        <v>916</v>
      </c>
      <c r="N381">
        <v>0</v>
      </c>
      <c r="O381">
        <v>-488</v>
      </c>
      <c r="P381">
        <v>-488</v>
      </c>
      <c r="Q381">
        <f t="shared" si="30"/>
        <v>2024</v>
      </c>
      <c r="R381">
        <f t="shared" si="31"/>
        <v>7</v>
      </c>
      <c r="S381" s="4">
        <f t="shared" si="32"/>
        <v>-498</v>
      </c>
      <c r="T381">
        <f t="shared" si="34"/>
        <v>27</v>
      </c>
      <c r="U381" s="4">
        <f t="shared" si="33"/>
        <v>-13446</v>
      </c>
      <c r="V381" s="4">
        <f t="shared" si="35"/>
        <v>1225851</v>
      </c>
    </row>
    <row r="382" spans="1:22" x14ac:dyDescent="0.25">
      <c r="A382" s="1">
        <v>394</v>
      </c>
      <c r="B382" s="2">
        <v>45496</v>
      </c>
      <c r="C382">
        <v>0</v>
      </c>
      <c r="D382">
        <v>88439</v>
      </c>
      <c r="E382">
        <v>88449</v>
      </c>
      <c r="F382">
        <v>87220</v>
      </c>
      <c r="G382">
        <v>87532</v>
      </c>
      <c r="H382">
        <v>399794</v>
      </c>
      <c r="I382">
        <v>1324.97</v>
      </c>
      <c r="J382">
        <v>0</v>
      </c>
      <c r="K382">
        <v>1</v>
      </c>
      <c r="L382">
        <v>444</v>
      </c>
      <c r="M382">
        <v>888</v>
      </c>
      <c r="N382">
        <v>444</v>
      </c>
      <c r="O382">
        <v>0</v>
      </c>
      <c r="P382">
        <v>444</v>
      </c>
      <c r="Q382">
        <f t="shared" si="30"/>
        <v>2024</v>
      </c>
      <c r="R382">
        <f t="shared" si="31"/>
        <v>7</v>
      </c>
      <c r="S382" s="4">
        <f t="shared" si="32"/>
        <v>434</v>
      </c>
      <c r="T382">
        <f t="shared" si="34"/>
        <v>27</v>
      </c>
      <c r="U382" s="4">
        <f t="shared" si="33"/>
        <v>11718</v>
      </c>
      <c r="V382" s="4">
        <f t="shared" si="35"/>
        <v>1237569</v>
      </c>
    </row>
    <row r="383" spans="1:22" x14ac:dyDescent="0.25">
      <c r="A383" s="1">
        <v>395</v>
      </c>
      <c r="B383" s="2">
        <v>45497</v>
      </c>
      <c r="C383">
        <v>0</v>
      </c>
      <c r="D383">
        <v>87532</v>
      </c>
      <c r="E383">
        <v>87532</v>
      </c>
      <c r="F383">
        <v>86800</v>
      </c>
      <c r="G383">
        <v>86880</v>
      </c>
      <c r="H383">
        <v>305076</v>
      </c>
      <c r="I383">
        <v>1282.6199999999999</v>
      </c>
      <c r="J383">
        <v>0</v>
      </c>
      <c r="K383">
        <v>0</v>
      </c>
      <c r="L383">
        <v>442</v>
      </c>
      <c r="M383">
        <v>883</v>
      </c>
      <c r="N383">
        <v>0</v>
      </c>
      <c r="O383">
        <v>663</v>
      </c>
      <c r="P383">
        <v>663</v>
      </c>
      <c r="Q383">
        <f t="shared" si="30"/>
        <v>2024</v>
      </c>
      <c r="R383">
        <f t="shared" si="31"/>
        <v>7</v>
      </c>
      <c r="S383" s="4">
        <f t="shared" si="32"/>
        <v>653</v>
      </c>
      <c r="T383">
        <f t="shared" si="34"/>
        <v>27</v>
      </c>
      <c r="U383" s="4">
        <f t="shared" si="33"/>
        <v>17631</v>
      </c>
      <c r="V383" s="4">
        <f t="shared" si="35"/>
        <v>1255200</v>
      </c>
    </row>
    <row r="384" spans="1:22" x14ac:dyDescent="0.25">
      <c r="A384" s="1">
        <v>396</v>
      </c>
      <c r="B384" s="2">
        <v>45498</v>
      </c>
      <c r="C384">
        <v>0</v>
      </c>
      <c r="D384">
        <v>86850</v>
      </c>
      <c r="E384">
        <v>86860</v>
      </c>
      <c r="F384">
        <v>86010</v>
      </c>
      <c r="G384">
        <v>86409</v>
      </c>
      <c r="H384">
        <v>464865</v>
      </c>
      <c r="I384">
        <v>1253.1500000000001</v>
      </c>
      <c r="J384">
        <v>0</v>
      </c>
      <c r="K384">
        <v>0</v>
      </c>
      <c r="L384">
        <v>428</v>
      </c>
      <c r="M384">
        <v>855</v>
      </c>
      <c r="N384">
        <v>0</v>
      </c>
      <c r="O384">
        <v>538</v>
      </c>
      <c r="P384">
        <v>538</v>
      </c>
      <c r="Q384">
        <f t="shared" si="30"/>
        <v>2024</v>
      </c>
      <c r="R384">
        <f t="shared" si="31"/>
        <v>7</v>
      </c>
      <c r="S384" s="4">
        <f t="shared" si="32"/>
        <v>528</v>
      </c>
      <c r="T384">
        <f t="shared" si="34"/>
        <v>29</v>
      </c>
      <c r="U384" s="4">
        <f t="shared" si="33"/>
        <v>15312</v>
      </c>
      <c r="V384" s="4">
        <f t="shared" si="35"/>
        <v>1270512</v>
      </c>
    </row>
    <row r="385" spans="1:22" x14ac:dyDescent="0.25">
      <c r="A385" s="1">
        <v>397</v>
      </c>
      <c r="B385" s="2">
        <v>45499</v>
      </c>
      <c r="C385">
        <v>0</v>
      </c>
      <c r="D385">
        <v>86340</v>
      </c>
      <c r="E385">
        <v>87615</v>
      </c>
      <c r="F385">
        <v>86152</v>
      </c>
      <c r="G385">
        <v>87300</v>
      </c>
      <c r="H385">
        <v>723640</v>
      </c>
      <c r="I385">
        <v>1268.1400000000001</v>
      </c>
      <c r="J385">
        <v>1</v>
      </c>
      <c r="K385">
        <v>0</v>
      </c>
      <c r="L385">
        <v>418</v>
      </c>
      <c r="M385">
        <v>835</v>
      </c>
      <c r="N385">
        <v>0</v>
      </c>
      <c r="O385">
        <v>418</v>
      </c>
      <c r="P385">
        <v>418</v>
      </c>
      <c r="Q385">
        <f t="shared" si="30"/>
        <v>2024</v>
      </c>
      <c r="R385">
        <f t="shared" si="31"/>
        <v>7</v>
      </c>
      <c r="S385" s="4">
        <f t="shared" si="32"/>
        <v>408</v>
      </c>
      <c r="T385">
        <f t="shared" si="34"/>
        <v>30</v>
      </c>
      <c r="U385" s="4">
        <f t="shared" si="33"/>
        <v>12240</v>
      </c>
      <c r="V385" s="4">
        <f t="shared" si="35"/>
        <v>1282752</v>
      </c>
    </row>
    <row r="386" spans="1:22" x14ac:dyDescent="0.25">
      <c r="A386" s="1">
        <v>398</v>
      </c>
      <c r="B386" s="2">
        <v>45502</v>
      </c>
      <c r="C386">
        <v>0</v>
      </c>
      <c r="D386">
        <v>87287</v>
      </c>
      <c r="E386">
        <v>87599</v>
      </c>
      <c r="F386">
        <v>86516</v>
      </c>
      <c r="G386">
        <v>86692</v>
      </c>
      <c r="H386">
        <v>374431</v>
      </c>
      <c r="I386">
        <v>1254.9100000000001</v>
      </c>
      <c r="J386">
        <v>0</v>
      </c>
      <c r="K386">
        <v>1</v>
      </c>
      <c r="L386">
        <v>423</v>
      </c>
      <c r="M386">
        <v>845</v>
      </c>
      <c r="N386">
        <v>423</v>
      </c>
      <c r="O386">
        <v>0</v>
      </c>
      <c r="P386">
        <v>423</v>
      </c>
      <c r="Q386">
        <f t="shared" si="30"/>
        <v>2024</v>
      </c>
      <c r="R386">
        <f t="shared" si="31"/>
        <v>7</v>
      </c>
      <c r="S386" s="4">
        <f t="shared" si="32"/>
        <v>413</v>
      </c>
      <c r="T386">
        <f t="shared" si="34"/>
        <v>30</v>
      </c>
      <c r="U386" s="4">
        <f t="shared" si="33"/>
        <v>12390</v>
      </c>
      <c r="V386" s="4">
        <f t="shared" si="35"/>
        <v>1295142</v>
      </c>
    </row>
    <row r="387" spans="1:22" x14ac:dyDescent="0.25">
      <c r="A387" s="1">
        <v>399</v>
      </c>
      <c r="B387" s="2">
        <v>45503</v>
      </c>
      <c r="C387">
        <v>0</v>
      </c>
      <c r="D387">
        <v>86720</v>
      </c>
      <c r="E387">
        <v>87330</v>
      </c>
      <c r="F387">
        <v>86650</v>
      </c>
      <c r="G387">
        <v>87130</v>
      </c>
      <c r="H387">
        <v>378225</v>
      </c>
      <c r="I387">
        <v>1213.8499999999999</v>
      </c>
      <c r="J387">
        <v>1</v>
      </c>
      <c r="K387">
        <v>0</v>
      </c>
      <c r="L387">
        <v>418</v>
      </c>
      <c r="M387">
        <v>837</v>
      </c>
      <c r="N387">
        <v>0</v>
      </c>
      <c r="O387">
        <v>-404</v>
      </c>
      <c r="P387">
        <v>-404</v>
      </c>
      <c r="Q387">
        <f t="shared" ref="Q387:Q431" si="36">YEAR(B387)</f>
        <v>2024</v>
      </c>
      <c r="R387">
        <f t="shared" ref="R387:R431" si="37">MONTH(B387)</f>
        <v>7</v>
      </c>
      <c r="S387" s="4">
        <f t="shared" ref="S387:S431" si="38">P387-10</f>
        <v>-414</v>
      </c>
      <c r="T387">
        <f t="shared" si="34"/>
        <v>30</v>
      </c>
      <c r="U387" s="4">
        <f t="shared" ref="U387:U431" si="39">S387*T387</f>
        <v>-12420</v>
      </c>
      <c r="V387" s="4">
        <f t="shared" si="35"/>
        <v>1282722</v>
      </c>
    </row>
    <row r="388" spans="1:22" x14ac:dyDescent="0.25">
      <c r="A388" s="1">
        <v>400</v>
      </c>
      <c r="B388" s="2">
        <v>45504</v>
      </c>
      <c r="C388">
        <v>0</v>
      </c>
      <c r="D388">
        <v>87128</v>
      </c>
      <c r="E388">
        <v>87250</v>
      </c>
      <c r="F388">
        <v>86029</v>
      </c>
      <c r="G388">
        <v>86280</v>
      </c>
      <c r="H388">
        <v>532405</v>
      </c>
      <c r="I388">
        <v>1214.3599999999999</v>
      </c>
      <c r="J388">
        <v>0</v>
      </c>
      <c r="K388">
        <v>1</v>
      </c>
      <c r="L388">
        <v>405</v>
      </c>
      <c r="M388">
        <v>809</v>
      </c>
      <c r="N388">
        <v>405</v>
      </c>
      <c r="O388">
        <v>0</v>
      </c>
      <c r="P388">
        <v>405</v>
      </c>
      <c r="Q388">
        <f t="shared" si="36"/>
        <v>2024</v>
      </c>
      <c r="R388">
        <f t="shared" si="37"/>
        <v>7</v>
      </c>
      <c r="S388" s="4">
        <f t="shared" si="38"/>
        <v>395</v>
      </c>
      <c r="T388">
        <f t="shared" ref="T388:T431" si="40">ROUNDDOWN(V387*$Y$2/L388,0)</f>
        <v>31</v>
      </c>
      <c r="U388" s="4">
        <f t="shared" si="39"/>
        <v>12245</v>
      </c>
      <c r="V388" s="4">
        <f t="shared" ref="V388:V431" si="41">V387+U388</f>
        <v>1294967</v>
      </c>
    </row>
    <row r="389" spans="1:22" x14ac:dyDescent="0.25">
      <c r="A389" s="1">
        <v>401</v>
      </c>
      <c r="B389" s="2">
        <v>45505</v>
      </c>
      <c r="C389">
        <v>0</v>
      </c>
      <c r="D389">
        <v>86299</v>
      </c>
      <c r="E389">
        <v>86650</v>
      </c>
      <c r="F389">
        <v>85600</v>
      </c>
      <c r="G389">
        <v>85867</v>
      </c>
      <c r="H389">
        <v>416044</v>
      </c>
      <c r="I389">
        <v>1202.6199999999999</v>
      </c>
      <c r="J389">
        <v>0</v>
      </c>
      <c r="K389">
        <v>0</v>
      </c>
      <c r="L389">
        <v>405</v>
      </c>
      <c r="M389">
        <v>810</v>
      </c>
      <c r="N389">
        <v>0</v>
      </c>
      <c r="O389">
        <v>460</v>
      </c>
      <c r="P389">
        <v>460</v>
      </c>
      <c r="Q389">
        <f t="shared" si="36"/>
        <v>2024</v>
      </c>
      <c r="R389">
        <f t="shared" si="37"/>
        <v>8</v>
      </c>
      <c r="S389" s="4">
        <f t="shared" si="38"/>
        <v>450</v>
      </c>
      <c r="T389">
        <f t="shared" si="40"/>
        <v>31</v>
      </c>
      <c r="U389" s="4">
        <f t="shared" si="39"/>
        <v>13950</v>
      </c>
      <c r="V389" s="4">
        <f t="shared" si="41"/>
        <v>1308917</v>
      </c>
    </row>
    <row r="390" spans="1:22" x14ac:dyDescent="0.25">
      <c r="A390" s="1">
        <v>402</v>
      </c>
      <c r="B390" s="2">
        <v>45506</v>
      </c>
      <c r="C390">
        <v>0</v>
      </c>
      <c r="D390">
        <v>85752</v>
      </c>
      <c r="E390">
        <v>86492</v>
      </c>
      <c r="F390">
        <v>85506</v>
      </c>
      <c r="G390">
        <v>85976</v>
      </c>
      <c r="H390">
        <v>543040</v>
      </c>
      <c r="I390">
        <v>1187.1500000000001</v>
      </c>
      <c r="J390">
        <v>1</v>
      </c>
      <c r="K390">
        <v>0</v>
      </c>
      <c r="L390">
        <v>401</v>
      </c>
      <c r="M390">
        <v>802</v>
      </c>
      <c r="N390">
        <v>0</v>
      </c>
      <c r="O390">
        <v>-163</v>
      </c>
      <c r="P390">
        <v>-163</v>
      </c>
      <c r="Q390">
        <f t="shared" si="36"/>
        <v>2024</v>
      </c>
      <c r="R390">
        <f t="shared" si="37"/>
        <v>8</v>
      </c>
      <c r="S390" s="4">
        <f t="shared" si="38"/>
        <v>-173</v>
      </c>
      <c r="T390">
        <f t="shared" si="40"/>
        <v>32</v>
      </c>
      <c r="U390" s="4">
        <f t="shared" si="39"/>
        <v>-5536</v>
      </c>
      <c r="V390" s="4">
        <f t="shared" si="41"/>
        <v>1303381</v>
      </c>
    </row>
    <row r="391" spans="1:22" x14ac:dyDescent="0.25">
      <c r="A391" s="1">
        <v>403</v>
      </c>
      <c r="B391" s="2">
        <v>45509</v>
      </c>
      <c r="C391">
        <v>0</v>
      </c>
      <c r="D391">
        <v>85983</v>
      </c>
      <c r="E391">
        <v>86242</v>
      </c>
      <c r="F391">
        <v>84941</v>
      </c>
      <c r="G391">
        <v>85795</v>
      </c>
      <c r="H391">
        <v>576979</v>
      </c>
      <c r="I391">
        <v>1195.28</v>
      </c>
      <c r="J391">
        <v>0</v>
      </c>
      <c r="K391">
        <v>1</v>
      </c>
      <c r="L391">
        <v>396</v>
      </c>
      <c r="M391">
        <v>791</v>
      </c>
      <c r="N391">
        <v>-226</v>
      </c>
      <c r="O391">
        <v>0</v>
      </c>
      <c r="P391">
        <v>-226</v>
      </c>
      <c r="Q391">
        <f t="shared" si="36"/>
        <v>2024</v>
      </c>
      <c r="R391">
        <f t="shared" si="37"/>
        <v>8</v>
      </c>
      <c r="S391" s="4">
        <f t="shared" si="38"/>
        <v>-236</v>
      </c>
      <c r="T391">
        <f t="shared" si="40"/>
        <v>32</v>
      </c>
      <c r="U391" s="4">
        <f t="shared" si="39"/>
        <v>-7552</v>
      </c>
      <c r="V391" s="4">
        <f t="shared" si="41"/>
        <v>1295829</v>
      </c>
    </row>
    <row r="392" spans="1:22" x14ac:dyDescent="0.25">
      <c r="A392" s="1">
        <v>404</v>
      </c>
      <c r="B392" s="2">
        <v>45510</v>
      </c>
      <c r="C392">
        <v>0</v>
      </c>
      <c r="D392">
        <v>85816</v>
      </c>
      <c r="E392">
        <v>86386</v>
      </c>
      <c r="F392">
        <v>85183</v>
      </c>
      <c r="G392">
        <v>86284</v>
      </c>
      <c r="H392">
        <v>536605</v>
      </c>
      <c r="I392">
        <v>1195.83</v>
      </c>
      <c r="J392">
        <v>1</v>
      </c>
      <c r="K392">
        <v>0</v>
      </c>
      <c r="L392">
        <v>398</v>
      </c>
      <c r="M392">
        <v>797</v>
      </c>
      <c r="N392">
        <v>0</v>
      </c>
      <c r="O392">
        <v>-389</v>
      </c>
      <c r="P392">
        <v>-389</v>
      </c>
      <c r="Q392">
        <f t="shared" si="36"/>
        <v>2024</v>
      </c>
      <c r="R392">
        <f t="shared" si="37"/>
        <v>8</v>
      </c>
      <c r="S392" s="4">
        <f t="shared" si="38"/>
        <v>-399</v>
      </c>
      <c r="T392">
        <f t="shared" si="40"/>
        <v>32</v>
      </c>
      <c r="U392" s="4">
        <f t="shared" si="39"/>
        <v>-12768</v>
      </c>
      <c r="V392" s="4">
        <f t="shared" si="41"/>
        <v>1283061</v>
      </c>
    </row>
    <row r="393" spans="1:22" x14ac:dyDescent="0.25">
      <c r="A393" s="1">
        <v>405</v>
      </c>
      <c r="B393" s="2">
        <v>45511</v>
      </c>
      <c r="C393">
        <v>0</v>
      </c>
      <c r="D393">
        <v>86452</v>
      </c>
      <c r="E393">
        <v>86491</v>
      </c>
      <c r="F393">
        <v>85900</v>
      </c>
      <c r="G393">
        <v>86207</v>
      </c>
      <c r="H393">
        <v>412174</v>
      </c>
      <c r="I393">
        <v>1152.6300000000001</v>
      </c>
      <c r="J393">
        <v>0</v>
      </c>
      <c r="K393">
        <v>1</v>
      </c>
      <c r="L393">
        <v>399</v>
      </c>
      <c r="M393">
        <v>797</v>
      </c>
      <c r="N393">
        <v>-248</v>
      </c>
      <c r="O393">
        <v>0</v>
      </c>
      <c r="P393">
        <v>-248</v>
      </c>
      <c r="Q393">
        <f t="shared" si="36"/>
        <v>2024</v>
      </c>
      <c r="R393">
        <f t="shared" si="37"/>
        <v>8</v>
      </c>
      <c r="S393" s="4">
        <f t="shared" si="38"/>
        <v>-258</v>
      </c>
      <c r="T393">
        <f t="shared" si="40"/>
        <v>32</v>
      </c>
      <c r="U393" s="4">
        <f t="shared" si="39"/>
        <v>-8256</v>
      </c>
      <c r="V393" s="4">
        <f t="shared" si="41"/>
        <v>1274805</v>
      </c>
    </row>
    <row r="394" spans="1:22" x14ac:dyDescent="0.25">
      <c r="A394" s="1">
        <v>406</v>
      </c>
      <c r="B394" s="2">
        <v>45512</v>
      </c>
      <c r="C394">
        <v>0</v>
      </c>
      <c r="D394">
        <v>86225</v>
      </c>
      <c r="E394">
        <v>86876</v>
      </c>
      <c r="F394">
        <v>86000</v>
      </c>
      <c r="G394">
        <v>86509</v>
      </c>
      <c r="H394">
        <v>522071</v>
      </c>
      <c r="I394">
        <v>1132.8699999999999</v>
      </c>
      <c r="J394">
        <v>1</v>
      </c>
      <c r="K394">
        <v>0</v>
      </c>
      <c r="L394">
        <v>384</v>
      </c>
      <c r="M394">
        <v>768</v>
      </c>
      <c r="N394">
        <v>0</v>
      </c>
      <c r="O394">
        <v>-394</v>
      </c>
      <c r="P394">
        <v>-394</v>
      </c>
      <c r="Q394">
        <f t="shared" si="36"/>
        <v>2024</v>
      </c>
      <c r="R394">
        <f t="shared" si="37"/>
        <v>8</v>
      </c>
      <c r="S394" s="4">
        <f t="shared" si="38"/>
        <v>-404</v>
      </c>
      <c r="T394">
        <f t="shared" si="40"/>
        <v>33</v>
      </c>
      <c r="U394" s="4">
        <f t="shared" si="39"/>
        <v>-13332</v>
      </c>
      <c r="V394" s="4">
        <f t="shared" si="41"/>
        <v>1261473</v>
      </c>
    </row>
    <row r="395" spans="1:22" x14ac:dyDescent="0.25">
      <c r="A395" s="1">
        <v>407</v>
      </c>
      <c r="B395" s="2">
        <v>45513</v>
      </c>
      <c r="C395">
        <v>0</v>
      </c>
      <c r="D395">
        <v>86511</v>
      </c>
      <c r="E395">
        <v>87020</v>
      </c>
      <c r="F395">
        <v>86320</v>
      </c>
      <c r="G395">
        <v>86582</v>
      </c>
      <c r="H395">
        <v>515751</v>
      </c>
      <c r="I395">
        <v>1101.95</v>
      </c>
      <c r="J395">
        <v>1</v>
      </c>
      <c r="K395">
        <v>1</v>
      </c>
      <c r="L395">
        <v>378</v>
      </c>
      <c r="M395">
        <v>755</v>
      </c>
      <c r="N395">
        <v>69</v>
      </c>
      <c r="O395">
        <v>0</v>
      </c>
      <c r="P395">
        <v>69</v>
      </c>
      <c r="Q395">
        <f t="shared" si="36"/>
        <v>2024</v>
      </c>
      <c r="R395">
        <f t="shared" si="37"/>
        <v>8</v>
      </c>
      <c r="S395" s="4">
        <f t="shared" si="38"/>
        <v>59</v>
      </c>
      <c r="T395">
        <f t="shared" si="40"/>
        <v>33</v>
      </c>
      <c r="U395" s="4">
        <f t="shared" si="39"/>
        <v>1947</v>
      </c>
      <c r="V395" s="4">
        <f t="shared" si="41"/>
        <v>1263420</v>
      </c>
    </row>
    <row r="396" spans="1:22" x14ac:dyDescent="0.25">
      <c r="A396" s="1">
        <v>408</v>
      </c>
      <c r="B396" s="2">
        <v>45516</v>
      </c>
      <c r="C396">
        <v>0</v>
      </c>
      <c r="D396">
        <v>86636</v>
      </c>
      <c r="E396">
        <v>89100</v>
      </c>
      <c r="F396">
        <v>86403</v>
      </c>
      <c r="G396">
        <v>88715</v>
      </c>
      <c r="H396">
        <v>913243</v>
      </c>
      <c r="I396">
        <v>1215.8800000000001</v>
      </c>
      <c r="J396">
        <v>1</v>
      </c>
      <c r="K396">
        <v>1</v>
      </c>
      <c r="L396">
        <v>367</v>
      </c>
      <c r="M396">
        <v>735</v>
      </c>
      <c r="N396">
        <v>735</v>
      </c>
      <c r="O396">
        <v>0</v>
      </c>
      <c r="P396">
        <v>735</v>
      </c>
      <c r="Q396">
        <f t="shared" si="36"/>
        <v>2024</v>
      </c>
      <c r="R396">
        <f t="shared" si="37"/>
        <v>8</v>
      </c>
      <c r="S396" s="4">
        <f t="shared" si="38"/>
        <v>725</v>
      </c>
      <c r="T396">
        <f t="shared" si="40"/>
        <v>34</v>
      </c>
      <c r="U396" s="4">
        <f t="shared" si="39"/>
        <v>24650</v>
      </c>
      <c r="V396" s="4">
        <f t="shared" si="41"/>
        <v>1288070</v>
      </c>
    </row>
    <row r="397" spans="1:22" x14ac:dyDescent="0.25">
      <c r="A397" s="1">
        <v>409</v>
      </c>
      <c r="B397" s="2">
        <v>45517</v>
      </c>
      <c r="C397">
        <v>0</v>
      </c>
      <c r="D397">
        <v>88768</v>
      </c>
      <c r="E397">
        <v>89890</v>
      </c>
      <c r="F397">
        <v>88570</v>
      </c>
      <c r="G397">
        <v>89527</v>
      </c>
      <c r="H397">
        <v>1067129</v>
      </c>
      <c r="I397">
        <v>1223.32</v>
      </c>
      <c r="J397">
        <v>1</v>
      </c>
      <c r="K397">
        <v>1</v>
      </c>
      <c r="L397">
        <v>405</v>
      </c>
      <c r="M397">
        <v>811</v>
      </c>
      <c r="N397">
        <v>748</v>
      </c>
      <c r="O397">
        <v>0</v>
      </c>
      <c r="P397">
        <v>748</v>
      </c>
      <c r="Q397">
        <f t="shared" si="36"/>
        <v>2024</v>
      </c>
      <c r="R397">
        <f t="shared" si="37"/>
        <v>8</v>
      </c>
      <c r="S397" s="4">
        <f t="shared" si="38"/>
        <v>738</v>
      </c>
      <c r="T397">
        <f t="shared" si="40"/>
        <v>31</v>
      </c>
      <c r="U397" s="4">
        <f t="shared" si="39"/>
        <v>22878</v>
      </c>
      <c r="V397" s="4">
        <f t="shared" si="41"/>
        <v>1310948</v>
      </c>
    </row>
    <row r="398" spans="1:22" x14ac:dyDescent="0.25">
      <c r="A398" s="1">
        <v>410</v>
      </c>
      <c r="B398" s="2">
        <v>45518</v>
      </c>
      <c r="C398">
        <v>0</v>
      </c>
      <c r="D398">
        <v>89550</v>
      </c>
      <c r="E398">
        <v>89925</v>
      </c>
      <c r="F398">
        <v>87567</v>
      </c>
      <c r="G398">
        <v>87717</v>
      </c>
      <c r="H398">
        <v>798872</v>
      </c>
      <c r="I398">
        <v>1304.3699999999999</v>
      </c>
      <c r="J398">
        <v>0</v>
      </c>
      <c r="K398">
        <v>1</v>
      </c>
      <c r="L398">
        <v>408</v>
      </c>
      <c r="M398">
        <v>816</v>
      </c>
      <c r="N398">
        <v>408</v>
      </c>
      <c r="O398">
        <v>0</v>
      </c>
      <c r="P398">
        <v>408</v>
      </c>
      <c r="Q398">
        <f t="shared" si="36"/>
        <v>2024</v>
      </c>
      <c r="R398">
        <f t="shared" si="37"/>
        <v>8</v>
      </c>
      <c r="S398" s="4">
        <f t="shared" si="38"/>
        <v>398</v>
      </c>
      <c r="T398">
        <f t="shared" si="40"/>
        <v>32</v>
      </c>
      <c r="U398" s="4">
        <f t="shared" si="39"/>
        <v>12736</v>
      </c>
      <c r="V398" s="4">
        <f t="shared" si="41"/>
        <v>1323684</v>
      </c>
    </row>
    <row r="399" spans="1:22" x14ac:dyDescent="0.25">
      <c r="A399" s="1">
        <v>411</v>
      </c>
      <c r="B399" s="2">
        <v>45519</v>
      </c>
      <c r="C399">
        <v>0</v>
      </c>
      <c r="D399">
        <v>87697</v>
      </c>
      <c r="E399">
        <v>88420</v>
      </c>
      <c r="F399">
        <v>87334</v>
      </c>
      <c r="G399">
        <v>88020</v>
      </c>
      <c r="H399">
        <v>537274</v>
      </c>
      <c r="I399">
        <v>1288.77</v>
      </c>
      <c r="J399">
        <v>1</v>
      </c>
      <c r="K399">
        <v>0</v>
      </c>
      <c r="L399">
        <v>435</v>
      </c>
      <c r="M399">
        <v>870</v>
      </c>
      <c r="N399">
        <v>0</v>
      </c>
      <c r="O399">
        <v>-348</v>
      </c>
      <c r="P399">
        <v>-348</v>
      </c>
      <c r="Q399">
        <f t="shared" si="36"/>
        <v>2024</v>
      </c>
      <c r="R399">
        <f t="shared" si="37"/>
        <v>8</v>
      </c>
      <c r="S399" s="4">
        <f t="shared" si="38"/>
        <v>-358</v>
      </c>
      <c r="T399">
        <f t="shared" si="40"/>
        <v>30</v>
      </c>
      <c r="U399" s="4">
        <f t="shared" si="39"/>
        <v>-10740</v>
      </c>
      <c r="V399" s="4">
        <f t="shared" si="41"/>
        <v>1312944</v>
      </c>
    </row>
    <row r="400" spans="1:22" x14ac:dyDescent="0.25">
      <c r="A400" s="1">
        <v>412</v>
      </c>
      <c r="B400" s="2">
        <v>45520</v>
      </c>
      <c r="C400">
        <v>0</v>
      </c>
      <c r="D400">
        <v>88018</v>
      </c>
      <c r="E400">
        <v>88609</v>
      </c>
      <c r="F400">
        <v>87630</v>
      </c>
      <c r="G400">
        <v>88249</v>
      </c>
      <c r="H400">
        <v>468369</v>
      </c>
      <c r="I400">
        <v>1266.6400000000001</v>
      </c>
      <c r="J400">
        <v>1</v>
      </c>
      <c r="K400">
        <v>1</v>
      </c>
      <c r="L400">
        <v>430</v>
      </c>
      <c r="M400">
        <v>859</v>
      </c>
      <c r="N400">
        <v>33</v>
      </c>
      <c r="O400">
        <v>0</v>
      </c>
      <c r="P400">
        <v>33</v>
      </c>
      <c r="Q400">
        <f t="shared" si="36"/>
        <v>2024</v>
      </c>
      <c r="R400">
        <f t="shared" si="37"/>
        <v>8</v>
      </c>
      <c r="S400" s="4">
        <f t="shared" si="38"/>
        <v>23</v>
      </c>
      <c r="T400">
        <f t="shared" si="40"/>
        <v>30</v>
      </c>
      <c r="U400" s="4">
        <f t="shared" si="39"/>
        <v>690</v>
      </c>
      <c r="V400" s="4">
        <f t="shared" si="41"/>
        <v>1313634</v>
      </c>
    </row>
    <row r="401" spans="1:22" x14ac:dyDescent="0.25">
      <c r="A401" s="1">
        <v>413</v>
      </c>
      <c r="B401" s="2">
        <v>45523</v>
      </c>
      <c r="C401">
        <v>0</v>
      </c>
      <c r="D401">
        <v>88253</v>
      </c>
      <c r="E401">
        <v>88774</v>
      </c>
      <c r="F401">
        <v>88038</v>
      </c>
      <c r="G401">
        <v>88497</v>
      </c>
      <c r="H401">
        <v>388517</v>
      </c>
      <c r="I401">
        <v>1228.74</v>
      </c>
      <c r="J401">
        <v>1</v>
      </c>
      <c r="K401">
        <v>1</v>
      </c>
      <c r="L401">
        <v>422</v>
      </c>
      <c r="M401">
        <v>844</v>
      </c>
      <c r="N401">
        <v>225</v>
      </c>
      <c r="O401">
        <v>0</v>
      </c>
      <c r="P401">
        <v>225</v>
      </c>
      <c r="Q401">
        <f t="shared" si="36"/>
        <v>2024</v>
      </c>
      <c r="R401">
        <f t="shared" si="37"/>
        <v>8</v>
      </c>
      <c r="S401" s="4">
        <f t="shared" si="38"/>
        <v>215</v>
      </c>
      <c r="T401">
        <f t="shared" si="40"/>
        <v>31</v>
      </c>
      <c r="U401" s="4">
        <f t="shared" si="39"/>
        <v>6665</v>
      </c>
      <c r="V401" s="4">
        <f t="shared" si="41"/>
        <v>1320299</v>
      </c>
    </row>
    <row r="402" spans="1:22" x14ac:dyDescent="0.25">
      <c r="A402" s="1">
        <v>414</v>
      </c>
      <c r="B402" s="2">
        <v>45524</v>
      </c>
      <c r="C402">
        <v>0</v>
      </c>
      <c r="D402">
        <v>88497</v>
      </c>
      <c r="E402">
        <v>89330</v>
      </c>
      <c r="F402">
        <v>88000</v>
      </c>
      <c r="G402">
        <v>89061</v>
      </c>
      <c r="H402">
        <v>503950</v>
      </c>
      <c r="I402">
        <v>1235.97</v>
      </c>
      <c r="J402">
        <v>1</v>
      </c>
      <c r="K402">
        <v>1</v>
      </c>
      <c r="L402">
        <v>410</v>
      </c>
      <c r="M402">
        <v>819</v>
      </c>
      <c r="N402">
        <v>578</v>
      </c>
      <c r="O402">
        <v>0</v>
      </c>
      <c r="P402">
        <v>578</v>
      </c>
      <c r="Q402">
        <f t="shared" si="36"/>
        <v>2024</v>
      </c>
      <c r="R402">
        <f t="shared" si="37"/>
        <v>8</v>
      </c>
      <c r="S402" s="4">
        <f t="shared" si="38"/>
        <v>568</v>
      </c>
      <c r="T402">
        <f t="shared" si="40"/>
        <v>32</v>
      </c>
      <c r="U402" s="4">
        <f t="shared" si="39"/>
        <v>18176</v>
      </c>
      <c r="V402" s="4">
        <f t="shared" si="41"/>
        <v>1338475</v>
      </c>
    </row>
    <row r="403" spans="1:22" x14ac:dyDescent="0.25">
      <c r="A403" s="1">
        <v>415</v>
      </c>
      <c r="B403" s="2">
        <v>45525</v>
      </c>
      <c r="C403">
        <v>0</v>
      </c>
      <c r="D403">
        <v>89129</v>
      </c>
      <c r="E403">
        <v>89548</v>
      </c>
      <c r="F403">
        <v>88556</v>
      </c>
      <c r="G403">
        <v>88860</v>
      </c>
      <c r="H403">
        <v>461764</v>
      </c>
      <c r="I403">
        <v>1218.55</v>
      </c>
      <c r="J403">
        <v>0</v>
      </c>
      <c r="K403">
        <v>1</v>
      </c>
      <c r="L403">
        <v>412</v>
      </c>
      <c r="M403">
        <v>824</v>
      </c>
      <c r="N403">
        <v>-280</v>
      </c>
      <c r="O403">
        <v>0</v>
      </c>
      <c r="P403">
        <v>-280</v>
      </c>
      <c r="Q403">
        <f t="shared" si="36"/>
        <v>2024</v>
      </c>
      <c r="R403">
        <f t="shared" si="37"/>
        <v>8</v>
      </c>
      <c r="S403" s="4">
        <f t="shared" si="38"/>
        <v>-290</v>
      </c>
      <c r="T403">
        <f t="shared" si="40"/>
        <v>32</v>
      </c>
      <c r="U403" s="4">
        <f t="shared" si="39"/>
        <v>-9280</v>
      </c>
      <c r="V403" s="4">
        <f t="shared" si="41"/>
        <v>1329195</v>
      </c>
    </row>
    <row r="404" spans="1:22" x14ac:dyDescent="0.25">
      <c r="A404" s="1">
        <v>416</v>
      </c>
      <c r="B404" s="2">
        <v>45526</v>
      </c>
      <c r="C404">
        <v>0</v>
      </c>
      <c r="D404">
        <v>88884</v>
      </c>
      <c r="E404">
        <v>88950</v>
      </c>
      <c r="F404">
        <v>87289</v>
      </c>
      <c r="G404">
        <v>87767</v>
      </c>
      <c r="H404">
        <v>623615</v>
      </c>
      <c r="I404">
        <v>1250.1500000000001</v>
      </c>
      <c r="J404">
        <v>0</v>
      </c>
      <c r="K404">
        <v>0</v>
      </c>
      <c r="L404">
        <v>406</v>
      </c>
      <c r="M404">
        <v>812</v>
      </c>
      <c r="N404">
        <v>0</v>
      </c>
      <c r="O404">
        <v>812</v>
      </c>
      <c r="P404">
        <v>812</v>
      </c>
      <c r="Q404">
        <f t="shared" si="36"/>
        <v>2024</v>
      </c>
      <c r="R404">
        <f t="shared" si="37"/>
        <v>8</v>
      </c>
      <c r="S404" s="4">
        <f t="shared" si="38"/>
        <v>802</v>
      </c>
      <c r="T404">
        <f t="shared" si="40"/>
        <v>32</v>
      </c>
      <c r="U404" s="4">
        <f t="shared" si="39"/>
        <v>25664</v>
      </c>
      <c r="V404" s="4">
        <f t="shared" si="41"/>
        <v>1354859</v>
      </c>
    </row>
    <row r="405" spans="1:22" x14ac:dyDescent="0.25">
      <c r="A405" s="1">
        <v>417</v>
      </c>
      <c r="B405" s="2">
        <v>45527</v>
      </c>
      <c r="C405">
        <v>0</v>
      </c>
      <c r="D405">
        <v>87777</v>
      </c>
      <c r="E405">
        <v>89045</v>
      </c>
      <c r="F405">
        <v>87467</v>
      </c>
      <c r="G405">
        <v>88603</v>
      </c>
      <c r="H405">
        <v>661800</v>
      </c>
      <c r="I405">
        <v>1273.57</v>
      </c>
      <c r="J405">
        <v>1</v>
      </c>
      <c r="K405">
        <v>0</v>
      </c>
      <c r="L405">
        <v>417</v>
      </c>
      <c r="M405">
        <v>833</v>
      </c>
      <c r="N405">
        <v>0</v>
      </c>
      <c r="O405">
        <v>417</v>
      </c>
      <c r="P405">
        <v>417</v>
      </c>
      <c r="Q405">
        <f t="shared" si="36"/>
        <v>2024</v>
      </c>
      <c r="R405">
        <f t="shared" si="37"/>
        <v>8</v>
      </c>
      <c r="S405" s="4">
        <f t="shared" si="38"/>
        <v>407</v>
      </c>
      <c r="T405">
        <f t="shared" si="40"/>
        <v>32</v>
      </c>
      <c r="U405" s="4">
        <f t="shared" si="39"/>
        <v>13024</v>
      </c>
      <c r="V405" s="4">
        <f t="shared" si="41"/>
        <v>1367883</v>
      </c>
    </row>
    <row r="406" spans="1:22" x14ac:dyDescent="0.25">
      <c r="A406" s="1">
        <v>418</v>
      </c>
      <c r="B406" s="2">
        <v>45530</v>
      </c>
      <c r="C406">
        <v>0</v>
      </c>
      <c r="D406">
        <v>88694</v>
      </c>
      <c r="E406">
        <v>89651</v>
      </c>
      <c r="F406">
        <v>88213</v>
      </c>
      <c r="G406">
        <v>89113</v>
      </c>
      <c r="H406">
        <v>659823</v>
      </c>
      <c r="I406">
        <v>1285.31</v>
      </c>
      <c r="J406">
        <v>1</v>
      </c>
      <c r="K406">
        <v>1</v>
      </c>
      <c r="L406">
        <v>425</v>
      </c>
      <c r="M406">
        <v>849</v>
      </c>
      <c r="N406">
        <v>423</v>
      </c>
      <c r="O406">
        <v>0</v>
      </c>
      <c r="P406">
        <v>423</v>
      </c>
      <c r="Q406">
        <f t="shared" si="36"/>
        <v>2024</v>
      </c>
      <c r="R406">
        <f t="shared" si="37"/>
        <v>8</v>
      </c>
      <c r="S406" s="4">
        <f t="shared" si="38"/>
        <v>413</v>
      </c>
      <c r="T406">
        <f t="shared" si="40"/>
        <v>32</v>
      </c>
      <c r="U406" s="4">
        <f t="shared" si="39"/>
        <v>13216</v>
      </c>
      <c r="V406" s="4">
        <f t="shared" si="41"/>
        <v>1381099</v>
      </c>
    </row>
    <row r="407" spans="1:22" x14ac:dyDescent="0.25">
      <c r="A407" s="1">
        <v>419</v>
      </c>
      <c r="B407" s="2">
        <v>45531</v>
      </c>
      <c r="C407">
        <v>0</v>
      </c>
      <c r="D407">
        <v>89105</v>
      </c>
      <c r="E407">
        <v>89789</v>
      </c>
      <c r="F407">
        <v>88760</v>
      </c>
      <c r="G407">
        <v>89600</v>
      </c>
      <c r="H407">
        <v>526971</v>
      </c>
      <c r="I407">
        <v>1267</v>
      </c>
      <c r="J407">
        <v>1</v>
      </c>
      <c r="K407">
        <v>1</v>
      </c>
      <c r="L407">
        <v>428</v>
      </c>
      <c r="M407">
        <v>857</v>
      </c>
      <c r="N407">
        <v>391</v>
      </c>
      <c r="O407">
        <v>0</v>
      </c>
      <c r="P407">
        <v>391</v>
      </c>
      <c r="Q407">
        <f t="shared" si="36"/>
        <v>2024</v>
      </c>
      <c r="R407">
        <f t="shared" si="37"/>
        <v>8</v>
      </c>
      <c r="S407" s="4">
        <f t="shared" si="38"/>
        <v>381</v>
      </c>
      <c r="T407">
        <f t="shared" si="40"/>
        <v>32</v>
      </c>
      <c r="U407" s="4">
        <f t="shared" si="39"/>
        <v>12192</v>
      </c>
      <c r="V407" s="4">
        <f t="shared" si="41"/>
        <v>1393291</v>
      </c>
    </row>
    <row r="408" spans="1:22" x14ac:dyDescent="0.25">
      <c r="A408" s="1">
        <v>420</v>
      </c>
      <c r="B408" s="2">
        <v>45532</v>
      </c>
      <c r="C408">
        <v>0</v>
      </c>
      <c r="D408">
        <v>89600</v>
      </c>
      <c r="E408">
        <v>89967</v>
      </c>
      <c r="F408">
        <v>88934</v>
      </c>
      <c r="G408">
        <v>89412</v>
      </c>
      <c r="H408">
        <v>522477</v>
      </c>
      <c r="I408">
        <v>1250.29</v>
      </c>
      <c r="J408">
        <v>0</v>
      </c>
      <c r="K408">
        <v>1</v>
      </c>
      <c r="L408">
        <v>422</v>
      </c>
      <c r="M408">
        <v>845</v>
      </c>
      <c r="N408">
        <v>-209</v>
      </c>
      <c r="O408">
        <v>0</v>
      </c>
      <c r="P408">
        <v>-209</v>
      </c>
      <c r="Q408">
        <f t="shared" si="36"/>
        <v>2024</v>
      </c>
      <c r="R408">
        <f t="shared" si="37"/>
        <v>8</v>
      </c>
      <c r="S408" s="4">
        <f t="shared" si="38"/>
        <v>-219</v>
      </c>
      <c r="T408">
        <f t="shared" si="40"/>
        <v>33</v>
      </c>
      <c r="U408" s="4">
        <f t="shared" si="39"/>
        <v>-7227</v>
      </c>
      <c r="V408" s="4">
        <f t="shared" si="41"/>
        <v>1386064</v>
      </c>
    </row>
    <row r="409" spans="1:22" x14ac:dyDescent="0.25">
      <c r="A409" s="1">
        <v>421</v>
      </c>
      <c r="B409" s="2">
        <v>45533</v>
      </c>
      <c r="C409">
        <v>0</v>
      </c>
      <c r="D409">
        <v>89413</v>
      </c>
      <c r="E409">
        <v>90125</v>
      </c>
      <c r="F409">
        <v>89303</v>
      </c>
      <c r="G409">
        <v>89977</v>
      </c>
      <c r="H409">
        <v>653571</v>
      </c>
      <c r="I409">
        <v>1219.7</v>
      </c>
      <c r="J409">
        <v>1</v>
      </c>
      <c r="K409">
        <v>0</v>
      </c>
      <c r="L409">
        <v>417</v>
      </c>
      <c r="M409">
        <v>834</v>
      </c>
      <c r="N409">
        <v>0</v>
      </c>
      <c r="O409">
        <v>-527</v>
      </c>
      <c r="P409">
        <v>-527</v>
      </c>
      <c r="Q409">
        <f t="shared" si="36"/>
        <v>2024</v>
      </c>
      <c r="R409">
        <f t="shared" si="37"/>
        <v>8</v>
      </c>
      <c r="S409" s="4">
        <f t="shared" si="38"/>
        <v>-537</v>
      </c>
      <c r="T409">
        <f t="shared" si="40"/>
        <v>33</v>
      </c>
      <c r="U409" s="4">
        <f t="shared" si="39"/>
        <v>-17721</v>
      </c>
      <c r="V409" s="4">
        <f t="shared" si="41"/>
        <v>1368343</v>
      </c>
    </row>
    <row r="410" spans="1:22" x14ac:dyDescent="0.25">
      <c r="A410" s="1">
        <v>422</v>
      </c>
      <c r="B410" s="2">
        <v>45534</v>
      </c>
      <c r="C410">
        <v>0</v>
      </c>
      <c r="D410">
        <v>89987</v>
      </c>
      <c r="E410">
        <v>90444</v>
      </c>
      <c r="F410">
        <v>89400</v>
      </c>
      <c r="G410">
        <v>89775</v>
      </c>
      <c r="H410">
        <v>476742</v>
      </c>
      <c r="I410">
        <v>1207.1500000000001</v>
      </c>
      <c r="J410">
        <v>0</v>
      </c>
      <c r="K410">
        <v>1</v>
      </c>
      <c r="L410">
        <v>407</v>
      </c>
      <c r="M410">
        <v>813</v>
      </c>
      <c r="N410">
        <v>-311</v>
      </c>
      <c r="O410">
        <v>0</v>
      </c>
      <c r="P410">
        <v>-311</v>
      </c>
      <c r="Q410">
        <f t="shared" si="36"/>
        <v>2024</v>
      </c>
      <c r="R410">
        <f t="shared" si="37"/>
        <v>8</v>
      </c>
      <c r="S410" s="4">
        <f t="shared" si="38"/>
        <v>-321</v>
      </c>
      <c r="T410">
        <f t="shared" si="40"/>
        <v>33</v>
      </c>
      <c r="U410" s="4">
        <f t="shared" si="39"/>
        <v>-10593</v>
      </c>
      <c r="V410" s="4">
        <f t="shared" si="41"/>
        <v>1357750</v>
      </c>
    </row>
    <row r="411" spans="1:22" x14ac:dyDescent="0.25">
      <c r="A411" s="1">
        <v>423</v>
      </c>
      <c r="B411" s="2">
        <v>45537</v>
      </c>
      <c r="C411">
        <v>0</v>
      </c>
      <c r="D411">
        <v>89695</v>
      </c>
      <c r="E411">
        <v>89901</v>
      </c>
      <c r="F411">
        <v>88550</v>
      </c>
      <c r="G411">
        <v>88776</v>
      </c>
      <c r="H411">
        <v>536453</v>
      </c>
      <c r="I411">
        <v>1217.42</v>
      </c>
      <c r="J411">
        <v>0</v>
      </c>
      <c r="K411">
        <v>0</v>
      </c>
      <c r="L411">
        <v>402</v>
      </c>
      <c r="M411">
        <v>805</v>
      </c>
      <c r="N411">
        <v>0</v>
      </c>
      <c r="O411">
        <v>805</v>
      </c>
      <c r="P411">
        <v>805</v>
      </c>
      <c r="Q411">
        <f t="shared" si="36"/>
        <v>2024</v>
      </c>
      <c r="R411">
        <f t="shared" si="37"/>
        <v>9</v>
      </c>
      <c r="S411" s="4">
        <f t="shared" si="38"/>
        <v>795</v>
      </c>
      <c r="T411">
        <f t="shared" si="40"/>
        <v>33</v>
      </c>
      <c r="U411" s="4">
        <f t="shared" si="39"/>
        <v>26235</v>
      </c>
      <c r="V411" s="4">
        <f t="shared" si="41"/>
        <v>1383985</v>
      </c>
    </row>
    <row r="412" spans="1:22" x14ac:dyDescent="0.25">
      <c r="A412" s="1">
        <v>424</v>
      </c>
      <c r="B412" s="2">
        <v>45538</v>
      </c>
      <c r="C412">
        <v>0</v>
      </c>
      <c r="D412">
        <v>88808</v>
      </c>
      <c r="E412">
        <v>88932</v>
      </c>
      <c r="F412">
        <v>87605</v>
      </c>
      <c r="G412">
        <v>87635</v>
      </c>
      <c r="H412">
        <v>658193</v>
      </c>
      <c r="I412">
        <v>1225.25</v>
      </c>
      <c r="J412">
        <v>0</v>
      </c>
      <c r="K412">
        <v>0</v>
      </c>
      <c r="L412">
        <v>406</v>
      </c>
      <c r="M412">
        <v>812</v>
      </c>
      <c r="N412">
        <v>0</v>
      </c>
      <c r="O412">
        <v>812</v>
      </c>
      <c r="P412">
        <v>812</v>
      </c>
      <c r="Q412">
        <f t="shared" si="36"/>
        <v>2024</v>
      </c>
      <c r="R412">
        <f t="shared" si="37"/>
        <v>9</v>
      </c>
      <c r="S412" s="4">
        <f t="shared" si="38"/>
        <v>802</v>
      </c>
      <c r="T412">
        <f t="shared" si="40"/>
        <v>34</v>
      </c>
      <c r="U412" s="4">
        <f t="shared" si="39"/>
        <v>27268</v>
      </c>
      <c r="V412" s="4">
        <f t="shared" si="41"/>
        <v>1411253</v>
      </c>
    </row>
    <row r="413" spans="1:22" x14ac:dyDescent="0.25">
      <c r="A413" s="1">
        <v>425</v>
      </c>
      <c r="B413" s="2">
        <v>45539</v>
      </c>
      <c r="C413">
        <v>0</v>
      </c>
      <c r="D413">
        <v>87737</v>
      </c>
      <c r="E413">
        <v>89028</v>
      </c>
      <c r="F413">
        <v>87640</v>
      </c>
      <c r="G413">
        <v>88797</v>
      </c>
      <c r="H413">
        <v>898468</v>
      </c>
      <c r="I413">
        <v>1237.23</v>
      </c>
      <c r="J413">
        <v>1</v>
      </c>
      <c r="K413">
        <v>0</v>
      </c>
      <c r="L413">
        <v>408</v>
      </c>
      <c r="M413">
        <v>817</v>
      </c>
      <c r="N413">
        <v>0</v>
      </c>
      <c r="O413">
        <v>408</v>
      </c>
      <c r="P413">
        <v>408</v>
      </c>
      <c r="Q413">
        <f t="shared" si="36"/>
        <v>2024</v>
      </c>
      <c r="R413">
        <f t="shared" si="37"/>
        <v>9</v>
      </c>
      <c r="S413" s="4">
        <f t="shared" si="38"/>
        <v>398</v>
      </c>
      <c r="T413">
        <f t="shared" si="40"/>
        <v>34</v>
      </c>
      <c r="U413" s="4">
        <f t="shared" si="39"/>
        <v>13532</v>
      </c>
      <c r="V413" s="4">
        <f t="shared" si="41"/>
        <v>1424785</v>
      </c>
    </row>
    <row r="414" spans="1:22" x14ac:dyDescent="0.25">
      <c r="A414" s="1">
        <v>426</v>
      </c>
      <c r="B414" s="2">
        <v>45540</v>
      </c>
      <c r="C414">
        <v>0</v>
      </c>
      <c r="D414">
        <v>88803</v>
      </c>
      <c r="E414">
        <v>89150</v>
      </c>
      <c r="F414">
        <v>88129</v>
      </c>
      <c r="G414">
        <v>88415</v>
      </c>
      <c r="H414">
        <v>648170</v>
      </c>
      <c r="I414">
        <v>1221.79</v>
      </c>
      <c r="J414">
        <v>0</v>
      </c>
      <c r="K414">
        <v>1</v>
      </c>
      <c r="L414">
        <v>412</v>
      </c>
      <c r="M414">
        <v>825</v>
      </c>
      <c r="N414">
        <v>412</v>
      </c>
      <c r="O414">
        <v>0</v>
      </c>
      <c r="P414">
        <v>412</v>
      </c>
      <c r="Q414">
        <f t="shared" si="36"/>
        <v>2024</v>
      </c>
      <c r="R414">
        <f t="shared" si="37"/>
        <v>9</v>
      </c>
      <c r="S414" s="4">
        <f t="shared" si="38"/>
        <v>402</v>
      </c>
      <c r="T414">
        <f t="shared" si="40"/>
        <v>34</v>
      </c>
      <c r="U414" s="4">
        <f t="shared" si="39"/>
        <v>13668</v>
      </c>
      <c r="V414" s="4">
        <f t="shared" si="41"/>
        <v>1438453</v>
      </c>
    </row>
    <row r="415" spans="1:22" x14ac:dyDescent="0.25">
      <c r="A415" s="1">
        <v>427</v>
      </c>
      <c r="B415" s="2">
        <v>45541</v>
      </c>
      <c r="C415">
        <v>0</v>
      </c>
      <c r="D415">
        <v>88400</v>
      </c>
      <c r="E415">
        <v>89438</v>
      </c>
      <c r="F415">
        <v>88270</v>
      </c>
      <c r="G415">
        <v>89244</v>
      </c>
      <c r="H415">
        <v>544247</v>
      </c>
      <c r="I415">
        <v>1217.95</v>
      </c>
      <c r="J415">
        <v>1</v>
      </c>
      <c r="K415">
        <v>0</v>
      </c>
      <c r="L415">
        <v>407</v>
      </c>
      <c r="M415">
        <v>815</v>
      </c>
      <c r="N415">
        <v>0</v>
      </c>
      <c r="O415">
        <v>407</v>
      </c>
      <c r="P415">
        <v>407</v>
      </c>
      <c r="Q415">
        <f t="shared" si="36"/>
        <v>2024</v>
      </c>
      <c r="R415">
        <f t="shared" si="37"/>
        <v>9</v>
      </c>
      <c r="S415" s="4">
        <f t="shared" si="38"/>
        <v>397</v>
      </c>
      <c r="T415">
        <f t="shared" si="40"/>
        <v>35</v>
      </c>
      <c r="U415" s="4">
        <f t="shared" si="39"/>
        <v>13895</v>
      </c>
      <c r="V415" s="4">
        <f t="shared" si="41"/>
        <v>1452348</v>
      </c>
    </row>
    <row r="416" spans="1:22" x14ac:dyDescent="0.25">
      <c r="A416" s="1">
        <v>428</v>
      </c>
      <c r="B416" s="2">
        <v>45544</v>
      </c>
      <c r="C416">
        <v>0</v>
      </c>
      <c r="D416">
        <v>89273</v>
      </c>
      <c r="E416">
        <v>90200</v>
      </c>
      <c r="F416">
        <v>89214</v>
      </c>
      <c r="G416">
        <v>90161</v>
      </c>
      <c r="H416">
        <v>426061</v>
      </c>
      <c r="I416">
        <v>1201.3800000000001</v>
      </c>
      <c r="J416">
        <v>1</v>
      </c>
      <c r="K416">
        <v>1</v>
      </c>
      <c r="L416">
        <v>406</v>
      </c>
      <c r="M416">
        <v>812</v>
      </c>
      <c r="N416">
        <v>812</v>
      </c>
      <c r="O416">
        <v>0</v>
      </c>
      <c r="P416">
        <v>812</v>
      </c>
      <c r="Q416">
        <f t="shared" si="36"/>
        <v>2024</v>
      </c>
      <c r="R416">
        <f t="shared" si="37"/>
        <v>9</v>
      </c>
      <c r="S416" s="4">
        <f t="shared" si="38"/>
        <v>802</v>
      </c>
      <c r="T416">
        <f t="shared" si="40"/>
        <v>35</v>
      </c>
      <c r="U416" s="4">
        <f t="shared" si="39"/>
        <v>28070</v>
      </c>
      <c r="V416" s="4">
        <f t="shared" si="41"/>
        <v>1480418</v>
      </c>
    </row>
    <row r="417" spans="1:22" x14ac:dyDescent="0.25">
      <c r="A417" s="1">
        <v>429</v>
      </c>
      <c r="B417" s="2">
        <v>45545</v>
      </c>
      <c r="C417">
        <v>0</v>
      </c>
      <c r="D417">
        <v>90177</v>
      </c>
      <c r="E417">
        <v>90650</v>
      </c>
      <c r="F417">
        <v>89925</v>
      </c>
      <c r="G417">
        <v>90408</v>
      </c>
      <c r="H417">
        <v>392813</v>
      </c>
      <c r="I417">
        <v>1167.3499999999999</v>
      </c>
      <c r="J417">
        <v>1</v>
      </c>
      <c r="K417">
        <v>1</v>
      </c>
      <c r="L417">
        <v>400</v>
      </c>
      <c r="M417">
        <v>801</v>
      </c>
      <c r="N417">
        <v>239</v>
      </c>
      <c r="O417">
        <v>0</v>
      </c>
      <c r="P417">
        <v>239</v>
      </c>
      <c r="Q417">
        <f t="shared" si="36"/>
        <v>2024</v>
      </c>
      <c r="R417">
        <f t="shared" si="37"/>
        <v>9</v>
      </c>
      <c r="S417" s="4">
        <f t="shared" si="38"/>
        <v>229</v>
      </c>
      <c r="T417">
        <f t="shared" si="40"/>
        <v>37</v>
      </c>
      <c r="U417" s="4">
        <f t="shared" si="39"/>
        <v>8473</v>
      </c>
      <c r="V417" s="4">
        <f t="shared" si="41"/>
        <v>1488891</v>
      </c>
    </row>
    <row r="418" spans="1:22" x14ac:dyDescent="0.25">
      <c r="A418" s="1">
        <v>430</v>
      </c>
      <c r="B418" s="2">
        <v>45546</v>
      </c>
      <c r="C418">
        <v>0</v>
      </c>
      <c r="D418">
        <v>90384</v>
      </c>
      <c r="E418">
        <v>90578</v>
      </c>
      <c r="F418">
        <v>89531</v>
      </c>
      <c r="G418">
        <v>89876</v>
      </c>
      <c r="H418">
        <v>608029</v>
      </c>
      <c r="I418">
        <v>1158.75</v>
      </c>
      <c r="J418">
        <v>0</v>
      </c>
      <c r="K418">
        <v>1</v>
      </c>
      <c r="L418">
        <v>389</v>
      </c>
      <c r="M418">
        <v>778</v>
      </c>
      <c r="N418">
        <v>389</v>
      </c>
      <c r="O418">
        <v>0</v>
      </c>
      <c r="P418">
        <v>389</v>
      </c>
      <c r="Q418">
        <f t="shared" si="36"/>
        <v>2024</v>
      </c>
      <c r="R418">
        <f t="shared" si="37"/>
        <v>9</v>
      </c>
      <c r="S418" s="4">
        <f t="shared" si="38"/>
        <v>379</v>
      </c>
      <c r="T418">
        <f t="shared" si="40"/>
        <v>38</v>
      </c>
      <c r="U418" s="4">
        <f t="shared" si="39"/>
        <v>14402</v>
      </c>
      <c r="V418" s="4">
        <f t="shared" si="41"/>
        <v>1503293</v>
      </c>
    </row>
    <row r="419" spans="1:22" x14ac:dyDescent="0.25">
      <c r="A419" s="1">
        <v>431</v>
      </c>
      <c r="B419" s="2">
        <v>45547</v>
      </c>
      <c r="C419">
        <v>0</v>
      </c>
      <c r="D419">
        <v>89907</v>
      </c>
      <c r="E419">
        <v>90500</v>
      </c>
      <c r="F419">
        <v>89876</v>
      </c>
      <c r="G419">
        <v>90272</v>
      </c>
      <c r="H419">
        <v>386823</v>
      </c>
      <c r="I419">
        <v>1120.56</v>
      </c>
      <c r="J419">
        <v>1</v>
      </c>
      <c r="K419">
        <v>0</v>
      </c>
      <c r="L419">
        <v>386</v>
      </c>
      <c r="M419">
        <v>772</v>
      </c>
      <c r="N419">
        <v>0</v>
      </c>
      <c r="O419">
        <v>-348</v>
      </c>
      <c r="P419">
        <v>-348</v>
      </c>
      <c r="Q419">
        <f t="shared" si="36"/>
        <v>2024</v>
      </c>
      <c r="R419">
        <f t="shared" si="37"/>
        <v>9</v>
      </c>
      <c r="S419" s="4">
        <f t="shared" si="38"/>
        <v>-358</v>
      </c>
      <c r="T419">
        <f t="shared" si="40"/>
        <v>38</v>
      </c>
      <c r="U419" s="4">
        <f t="shared" si="39"/>
        <v>-13604</v>
      </c>
      <c r="V419" s="4">
        <f t="shared" si="41"/>
        <v>1489689</v>
      </c>
    </row>
    <row r="420" spans="1:22" x14ac:dyDescent="0.25">
      <c r="A420" s="1">
        <v>432</v>
      </c>
      <c r="B420" s="2">
        <v>45548</v>
      </c>
      <c r="C420">
        <v>0</v>
      </c>
      <c r="D420">
        <v>90272</v>
      </c>
      <c r="E420">
        <v>90549</v>
      </c>
      <c r="F420">
        <v>89710</v>
      </c>
      <c r="G420">
        <v>90470</v>
      </c>
      <c r="H420">
        <v>395236</v>
      </c>
      <c r="I420">
        <v>1100.45</v>
      </c>
      <c r="J420">
        <v>1</v>
      </c>
      <c r="K420">
        <v>1</v>
      </c>
      <c r="L420">
        <v>374</v>
      </c>
      <c r="M420">
        <v>747</v>
      </c>
      <c r="N420">
        <v>146</v>
      </c>
      <c r="O420">
        <v>0</v>
      </c>
      <c r="P420">
        <v>146</v>
      </c>
      <c r="Q420">
        <f t="shared" si="36"/>
        <v>2024</v>
      </c>
      <c r="R420">
        <f t="shared" si="37"/>
        <v>9</v>
      </c>
      <c r="S420" s="4">
        <f t="shared" si="38"/>
        <v>136</v>
      </c>
      <c r="T420">
        <f t="shared" si="40"/>
        <v>39</v>
      </c>
      <c r="U420" s="4">
        <f t="shared" si="39"/>
        <v>5304</v>
      </c>
      <c r="V420" s="4">
        <f t="shared" si="41"/>
        <v>1494993</v>
      </c>
    </row>
    <row r="421" spans="1:22" x14ac:dyDescent="0.25">
      <c r="A421" s="1">
        <v>433</v>
      </c>
      <c r="B421" s="2">
        <v>45551</v>
      </c>
      <c r="C421">
        <v>0</v>
      </c>
      <c r="D421">
        <v>90460</v>
      </c>
      <c r="E421">
        <v>91398</v>
      </c>
      <c r="F421">
        <v>90423</v>
      </c>
      <c r="G421">
        <v>91153</v>
      </c>
      <c r="H421">
        <v>471370</v>
      </c>
      <c r="I421">
        <v>1091.49</v>
      </c>
      <c r="J421">
        <v>1</v>
      </c>
      <c r="K421">
        <v>1</v>
      </c>
      <c r="L421">
        <v>367</v>
      </c>
      <c r="M421">
        <v>734</v>
      </c>
      <c r="N421">
        <v>639</v>
      </c>
      <c r="O421">
        <v>0</v>
      </c>
      <c r="P421">
        <v>639</v>
      </c>
      <c r="Q421">
        <f t="shared" si="36"/>
        <v>2024</v>
      </c>
      <c r="R421">
        <f t="shared" si="37"/>
        <v>9</v>
      </c>
      <c r="S421" s="4">
        <f t="shared" si="38"/>
        <v>629</v>
      </c>
      <c r="T421">
        <f t="shared" si="40"/>
        <v>40</v>
      </c>
      <c r="U421" s="4">
        <f t="shared" si="39"/>
        <v>25160</v>
      </c>
      <c r="V421" s="4">
        <f t="shared" si="41"/>
        <v>1520153</v>
      </c>
    </row>
    <row r="422" spans="1:22" x14ac:dyDescent="0.25">
      <c r="A422" s="1">
        <v>434</v>
      </c>
      <c r="B422" s="2">
        <v>45552</v>
      </c>
      <c r="C422">
        <v>0</v>
      </c>
      <c r="D422">
        <v>91131</v>
      </c>
      <c r="E422">
        <v>91296</v>
      </c>
      <c r="F422">
        <v>90450</v>
      </c>
      <c r="G422">
        <v>90850</v>
      </c>
      <c r="H422">
        <v>483742</v>
      </c>
      <c r="I422">
        <v>1073.95</v>
      </c>
      <c r="J422">
        <v>0</v>
      </c>
      <c r="K422">
        <v>1</v>
      </c>
      <c r="L422">
        <v>364</v>
      </c>
      <c r="M422">
        <v>728</v>
      </c>
      <c r="N422">
        <v>-272</v>
      </c>
      <c r="O422">
        <v>0</v>
      </c>
      <c r="P422">
        <v>-272</v>
      </c>
      <c r="Q422">
        <f t="shared" si="36"/>
        <v>2024</v>
      </c>
      <c r="R422">
        <f t="shared" si="37"/>
        <v>9</v>
      </c>
      <c r="S422" s="4">
        <f t="shared" si="38"/>
        <v>-282</v>
      </c>
      <c r="T422">
        <f t="shared" si="40"/>
        <v>41</v>
      </c>
      <c r="U422" s="4">
        <f t="shared" si="39"/>
        <v>-11562</v>
      </c>
      <c r="V422" s="4">
        <f t="shared" si="41"/>
        <v>1508591</v>
      </c>
    </row>
    <row r="423" spans="1:22" x14ac:dyDescent="0.25">
      <c r="A423" s="1">
        <v>435</v>
      </c>
      <c r="B423" s="2">
        <v>45553</v>
      </c>
      <c r="C423">
        <v>0</v>
      </c>
      <c r="D423">
        <v>91936</v>
      </c>
      <c r="E423">
        <v>92280</v>
      </c>
      <c r="F423">
        <v>91001</v>
      </c>
      <c r="G423">
        <v>91550</v>
      </c>
      <c r="H423">
        <v>427434</v>
      </c>
      <c r="I423">
        <v>1099.3800000000001</v>
      </c>
      <c r="J423">
        <v>0</v>
      </c>
      <c r="K423">
        <v>0</v>
      </c>
      <c r="L423">
        <v>358</v>
      </c>
      <c r="M423">
        <v>716</v>
      </c>
      <c r="N423">
        <v>0</v>
      </c>
      <c r="O423">
        <v>429</v>
      </c>
      <c r="P423">
        <v>429</v>
      </c>
      <c r="Q423">
        <f t="shared" si="36"/>
        <v>2024</v>
      </c>
      <c r="R423">
        <f t="shared" si="37"/>
        <v>9</v>
      </c>
      <c r="S423" s="4">
        <f t="shared" si="38"/>
        <v>419</v>
      </c>
      <c r="T423">
        <f t="shared" si="40"/>
        <v>42</v>
      </c>
      <c r="U423" s="4">
        <f t="shared" si="39"/>
        <v>17598</v>
      </c>
      <c r="V423" s="4">
        <f t="shared" si="41"/>
        <v>1526189</v>
      </c>
    </row>
    <row r="424" spans="1:22" x14ac:dyDescent="0.25">
      <c r="A424" s="1">
        <v>436</v>
      </c>
      <c r="B424" s="2">
        <v>45554</v>
      </c>
      <c r="C424">
        <v>0</v>
      </c>
      <c r="D424">
        <v>91531</v>
      </c>
      <c r="E424">
        <v>92139</v>
      </c>
      <c r="F424">
        <v>91144</v>
      </c>
      <c r="G424">
        <v>91438</v>
      </c>
      <c r="H424">
        <v>640932</v>
      </c>
      <c r="I424">
        <v>1091.93</v>
      </c>
      <c r="J424">
        <v>0</v>
      </c>
      <c r="K424">
        <v>0</v>
      </c>
      <c r="L424">
        <v>366</v>
      </c>
      <c r="M424">
        <v>733</v>
      </c>
      <c r="N424">
        <v>0</v>
      </c>
      <c r="O424">
        <v>131</v>
      </c>
      <c r="P424">
        <v>131</v>
      </c>
      <c r="Q424">
        <f t="shared" si="36"/>
        <v>2024</v>
      </c>
      <c r="R424">
        <f t="shared" si="37"/>
        <v>9</v>
      </c>
      <c r="S424" s="4">
        <f t="shared" si="38"/>
        <v>121</v>
      </c>
      <c r="T424">
        <f t="shared" si="40"/>
        <v>41</v>
      </c>
      <c r="U424" s="4">
        <f t="shared" si="39"/>
        <v>4961</v>
      </c>
      <c r="V424" s="4">
        <f t="shared" si="41"/>
        <v>1531150</v>
      </c>
    </row>
    <row r="425" spans="1:22" x14ac:dyDescent="0.25">
      <c r="A425" s="1">
        <v>437</v>
      </c>
      <c r="B425" s="2">
        <v>45555</v>
      </c>
      <c r="C425">
        <v>0</v>
      </c>
      <c r="D425">
        <v>91459</v>
      </c>
      <c r="E425">
        <v>92830</v>
      </c>
      <c r="F425">
        <v>91190</v>
      </c>
      <c r="G425">
        <v>92670</v>
      </c>
      <c r="H425">
        <v>665648</v>
      </c>
      <c r="I425">
        <v>1131.08</v>
      </c>
      <c r="J425">
        <v>1</v>
      </c>
      <c r="K425">
        <v>0</v>
      </c>
      <c r="L425">
        <v>364</v>
      </c>
      <c r="M425">
        <v>728</v>
      </c>
      <c r="N425">
        <v>0</v>
      </c>
      <c r="O425">
        <v>364</v>
      </c>
      <c r="P425">
        <v>364</v>
      </c>
      <c r="Q425">
        <f t="shared" si="36"/>
        <v>2024</v>
      </c>
      <c r="R425">
        <f t="shared" si="37"/>
        <v>9</v>
      </c>
      <c r="S425" s="4">
        <f t="shared" si="38"/>
        <v>354</v>
      </c>
      <c r="T425">
        <f t="shared" si="40"/>
        <v>42</v>
      </c>
      <c r="U425" s="4">
        <f t="shared" si="39"/>
        <v>14868</v>
      </c>
      <c r="V425" s="4">
        <f t="shared" si="41"/>
        <v>1546018</v>
      </c>
    </row>
    <row r="426" spans="1:22" x14ac:dyDescent="0.25">
      <c r="A426" s="1">
        <v>438</v>
      </c>
      <c r="B426" s="2">
        <v>45558</v>
      </c>
      <c r="C426">
        <v>0</v>
      </c>
      <c r="D426">
        <v>92670</v>
      </c>
      <c r="E426">
        <v>92850</v>
      </c>
      <c r="F426">
        <v>92114</v>
      </c>
      <c r="G426">
        <v>92530</v>
      </c>
      <c r="H426">
        <v>366280</v>
      </c>
      <c r="I426">
        <v>1102.8599999999999</v>
      </c>
      <c r="J426">
        <v>0</v>
      </c>
      <c r="K426">
        <v>1</v>
      </c>
      <c r="L426">
        <v>377</v>
      </c>
      <c r="M426">
        <v>754</v>
      </c>
      <c r="N426">
        <v>-100</v>
      </c>
      <c r="O426">
        <v>0</v>
      </c>
      <c r="P426">
        <v>-100</v>
      </c>
      <c r="Q426">
        <f t="shared" si="36"/>
        <v>2024</v>
      </c>
      <c r="R426">
        <f t="shared" si="37"/>
        <v>9</v>
      </c>
      <c r="S426" s="4">
        <f t="shared" si="38"/>
        <v>-110</v>
      </c>
      <c r="T426">
        <f t="shared" si="40"/>
        <v>41</v>
      </c>
      <c r="U426" s="4">
        <f t="shared" si="39"/>
        <v>-4510</v>
      </c>
      <c r="V426" s="4">
        <f t="shared" si="41"/>
        <v>1541508</v>
      </c>
    </row>
    <row r="427" spans="1:22" x14ac:dyDescent="0.25">
      <c r="A427" s="1">
        <v>439</v>
      </c>
      <c r="B427" s="2">
        <v>45559</v>
      </c>
      <c r="C427">
        <v>0</v>
      </c>
      <c r="D427">
        <v>92531</v>
      </c>
      <c r="E427">
        <v>92850</v>
      </c>
      <c r="F427">
        <v>91545</v>
      </c>
      <c r="G427">
        <v>91583</v>
      </c>
      <c r="H427">
        <v>557165</v>
      </c>
      <c r="I427">
        <v>1117.29</v>
      </c>
      <c r="J427">
        <v>0</v>
      </c>
      <c r="K427">
        <v>0</v>
      </c>
      <c r="L427">
        <v>368</v>
      </c>
      <c r="M427">
        <v>735</v>
      </c>
      <c r="N427">
        <v>0</v>
      </c>
      <c r="O427">
        <v>735</v>
      </c>
      <c r="P427">
        <v>735</v>
      </c>
      <c r="Q427">
        <f t="shared" si="36"/>
        <v>2024</v>
      </c>
      <c r="R427">
        <f t="shared" si="37"/>
        <v>9</v>
      </c>
      <c r="S427" s="4">
        <f t="shared" si="38"/>
        <v>725</v>
      </c>
      <c r="T427">
        <f t="shared" si="40"/>
        <v>41</v>
      </c>
      <c r="U427" s="4">
        <f t="shared" si="39"/>
        <v>29725</v>
      </c>
      <c r="V427" s="4">
        <f t="shared" si="41"/>
        <v>1571233</v>
      </c>
    </row>
    <row r="428" spans="1:22" x14ac:dyDescent="0.25">
      <c r="A428" s="1">
        <v>440</v>
      </c>
      <c r="B428" s="2">
        <v>45560</v>
      </c>
      <c r="C428">
        <v>0</v>
      </c>
      <c r="D428">
        <v>91618</v>
      </c>
      <c r="E428">
        <v>92099</v>
      </c>
      <c r="F428">
        <v>91160</v>
      </c>
      <c r="G428">
        <v>91858</v>
      </c>
      <c r="H428">
        <v>356389</v>
      </c>
      <c r="I428">
        <v>1104.56</v>
      </c>
      <c r="J428">
        <v>1</v>
      </c>
      <c r="K428">
        <v>0</v>
      </c>
      <c r="L428">
        <v>372</v>
      </c>
      <c r="M428">
        <v>745</v>
      </c>
      <c r="N428">
        <v>0</v>
      </c>
      <c r="O428">
        <v>-284</v>
      </c>
      <c r="P428">
        <v>-284</v>
      </c>
      <c r="Q428">
        <f t="shared" si="36"/>
        <v>2024</v>
      </c>
      <c r="R428">
        <f t="shared" si="37"/>
        <v>9</v>
      </c>
      <c r="S428" s="4">
        <f t="shared" si="38"/>
        <v>-294</v>
      </c>
      <c r="T428">
        <f t="shared" si="40"/>
        <v>42</v>
      </c>
      <c r="U428" s="4">
        <f t="shared" si="39"/>
        <v>-12348</v>
      </c>
      <c r="V428" s="4">
        <f t="shared" si="41"/>
        <v>1558885</v>
      </c>
    </row>
    <row r="429" spans="1:22" x14ac:dyDescent="0.25">
      <c r="A429" s="1">
        <v>441</v>
      </c>
      <c r="B429" s="2">
        <v>45561</v>
      </c>
      <c r="C429">
        <v>0</v>
      </c>
      <c r="D429">
        <v>91839</v>
      </c>
      <c r="E429">
        <v>92404</v>
      </c>
      <c r="F429">
        <v>91609</v>
      </c>
      <c r="G429">
        <v>92258</v>
      </c>
      <c r="H429">
        <v>387517</v>
      </c>
      <c r="I429">
        <v>1082.45</v>
      </c>
      <c r="J429">
        <v>1</v>
      </c>
      <c r="K429">
        <v>1</v>
      </c>
      <c r="L429">
        <v>368</v>
      </c>
      <c r="M429">
        <v>736</v>
      </c>
      <c r="N429">
        <v>423</v>
      </c>
      <c r="O429">
        <v>0</v>
      </c>
      <c r="P429">
        <v>423</v>
      </c>
      <c r="Q429">
        <f t="shared" si="36"/>
        <v>2024</v>
      </c>
      <c r="R429">
        <f t="shared" si="37"/>
        <v>9</v>
      </c>
      <c r="S429" s="4">
        <f t="shared" si="38"/>
        <v>413</v>
      </c>
      <c r="T429">
        <f t="shared" si="40"/>
        <v>42</v>
      </c>
      <c r="U429" s="4">
        <f t="shared" si="39"/>
        <v>17346</v>
      </c>
      <c r="V429" s="4">
        <f t="shared" si="41"/>
        <v>1576231</v>
      </c>
    </row>
    <row r="430" spans="1:22" x14ac:dyDescent="0.25">
      <c r="A430" s="1">
        <v>442</v>
      </c>
      <c r="B430" s="2">
        <v>45562</v>
      </c>
      <c r="C430">
        <v>0</v>
      </c>
      <c r="D430">
        <v>92258</v>
      </c>
      <c r="E430">
        <v>92800</v>
      </c>
      <c r="F430">
        <v>92200</v>
      </c>
      <c r="G430">
        <v>92740</v>
      </c>
      <c r="H430">
        <v>375520</v>
      </c>
      <c r="I430">
        <v>1047.99</v>
      </c>
      <c r="J430">
        <v>1</v>
      </c>
      <c r="K430">
        <v>1</v>
      </c>
      <c r="L430">
        <v>361</v>
      </c>
      <c r="M430">
        <v>722</v>
      </c>
      <c r="N430">
        <v>452</v>
      </c>
      <c r="O430">
        <v>0</v>
      </c>
      <c r="P430">
        <v>452</v>
      </c>
      <c r="Q430">
        <f t="shared" si="36"/>
        <v>2024</v>
      </c>
      <c r="R430">
        <f t="shared" si="37"/>
        <v>9</v>
      </c>
      <c r="S430" s="4">
        <f t="shared" si="38"/>
        <v>442</v>
      </c>
      <c r="T430">
        <f t="shared" si="40"/>
        <v>43</v>
      </c>
      <c r="U430" s="4">
        <f t="shared" si="39"/>
        <v>19006</v>
      </c>
      <c r="V430" s="4">
        <f t="shared" si="41"/>
        <v>1595237</v>
      </c>
    </row>
    <row r="431" spans="1:22" x14ac:dyDescent="0.25">
      <c r="A431" s="1">
        <v>443</v>
      </c>
      <c r="B431" s="2">
        <v>45565</v>
      </c>
      <c r="C431">
        <v>0</v>
      </c>
      <c r="D431">
        <v>92747</v>
      </c>
      <c r="E431">
        <v>93100</v>
      </c>
      <c r="F431">
        <v>92565</v>
      </c>
      <c r="G431">
        <v>93031</v>
      </c>
      <c r="H431">
        <v>390031</v>
      </c>
      <c r="I431">
        <v>1011.35</v>
      </c>
      <c r="J431">
        <v>1</v>
      </c>
      <c r="K431">
        <v>1</v>
      </c>
      <c r="L431">
        <v>349</v>
      </c>
      <c r="M431">
        <v>699</v>
      </c>
      <c r="N431">
        <v>286</v>
      </c>
      <c r="O431">
        <v>0</v>
      </c>
      <c r="P431">
        <v>286</v>
      </c>
      <c r="Q431">
        <f t="shared" si="36"/>
        <v>2024</v>
      </c>
      <c r="R431">
        <f t="shared" si="37"/>
        <v>9</v>
      </c>
      <c r="S431" s="4">
        <f t="shared" si="38"/>
        <v>276</v>
      </c>
      <c r="T431">
        <f t="shared" si="40"/>
        <v>45</v>
      </c>
      <c r="U431" s="4">
        <f t="shared" si="39"/>
        <v>12420</v>
      </c>
      <c r="V431" s="4">
        <f t="shared" si="41"/>
        <v>1607657</v>
      </c>
    </row>
  </sheetData>
  <autoFilter ref="A1:V43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8F5A-9464-487D-B220-8943EFB013D8}">
  <dimension ref="A1:Q24"/>
  <sheetViews>
    <sheetView workbookViewId="0"/>
  </sheetViews>
  <sheetFormatPr defaultRowHeight="15" x14ac:dyDescent="0.25"/>
  <cols>
    <col min="1" max="1" width="3.140625" bestFit="1" customWidth="1"/>
    <col min="2" max="2" width="10.140625" bestFit="1" customWidth="1"/>
    <col min="3" max="3" width="9.42578125" style="5" bestFit="1" customWidth="1"/>
    <col min="4" max="4" width="7.7109375" style="4" bestFit="1" customWidth="1"/>
    <col min="5" max="5" width="7.140625" style="4" bestFit="1" customWidth="1"/>
    <col min="7" max="7" width="10.7109375" style="4" bestFit="1" customWidth="1"/>
    <col min="8" max="9" width="7.85546875" style="4" bestFit="1" customWidth="1"/>
    <col min="10" max="10" width="12.140625" style="4" bestFit="1" customWidth="1"/>
    <col min="11" max="11" width="16" style="4" bestFit="1" customWidth="1"/>
  </cols>
  <sheetData>
    <row r="1" spans="1:17" x14ac:dyDescent="0.25">
      <c r="A1" t="s">
        <v>15</v>
      </c>
      <c r="B1" t="s">
        <v>16</v>
      </c>
      <c r="C1" s="5" t="s">
        <v>7</v>
      </c>
      <c r="D1" s="4" t="s">
        <v>17</v>
      </c>
      <c r="E1" s="4" t="s">
        <v>18</v>
      </c>
      <c r="F1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M1" s="4" t="s">
        <v>27</v>
      </c>
      <c r="N1" s="6">
        <f>SUM(K:K) - 10*MAX(A:A)</f>
        <v>2971</v>
      </c>
      <c r="P1" t="s">
        <v>28</v>
      </c>
      <c r="Q1" s="7">
        <f>COUNTIF(K:K,"&gt;0")/(COUNTA(K:K)-1)</f>
        <v>0.47826086956521741</v>
      </c>
    </row>
    <row r="2" spans="1:17" x14ac:dyDescent="0.25">
      <c r="A2">
        <v>1</v>
      </c>
      <c r="B2" s="3">
        <v>45566</v>
      </c>
      <c r="C2" s="5">
        <v>1010.59</v>
      </c>
      <c r="D2" s="4">
        <f>ROUND(C2/3,0)</f>
        <v>337</v>
      </c>
      <c r="E2" s="4">
        <f>ROUND(C2*2/3,0)</f>
        <v>674</v>
      </c>
      <c r="F2" t="s">
        <v>25</v>
      </c>
      <c r="G2" s="4">
        <v>93033</v>
      </c>
      <c r="H2" s="4">
        <f>IF(F2="long",G2-D2,G2+D2)</f>
        <v>92696</v>
      </c>
      <c r="I2" s="4">
        <f>IF(F2="long",G2+E2,G2-E2)</f>
        <v>93707</v>
      </c>
      <c r="J2" s="4">
        <v>93707</v>
      </c>
      <c r="K2" s="4">
        <f>IF(J2=0,0,IF(F2="long",J2-G2,G2-J2))</f>
        <v>674</v>
      </c>
      <c r="M2" t="s">
        <v>43</v>
      </c>
      <c r="N2" s="6">
        <f>N1*4</f>
        <v>11884</v>
      </c>
    </row>
    <row r="3" spans="1:17" x14ac:dyDescent="0.25">
      <c r="A3">
        <v>2</v>
      </c>
      <c r="B3" s="3">
        <v>45567</v>
      </c>
      <c r="C3" s="5">
        <v>1012.69</v>
      </c>
      <c r="D3" s="4">
        <f t="shared" ref="D3:D24" si="0">ROUND(C3/3,0)</f>
        <v>338</v>
      </c>
      <c r="E3" s="4">
        <f t="shared" ref="E3:E24" si="1">ROUND(C3*2/3,0)</f>
        <v>675</v>
      </c>
      <c r="F3" t="s">
        <v>25</v>
      </c>
      <c r="G3" s="4">
        <v>93701</v>
      </c>
      <c r="H3" s="4">
        <f t="shared" ref="H3:H24" si="2">IF(F3="long",G3-D3,G3+D3)</f>
        <v>93363</v>
      </c>
      <c r="I3" s="4">
        <f t="shared" ref="I3:I24" si="3">IF(F3="long",G3+E3,G3-E3)</f>
        <v>94376</v>
      </c>
      <c r="J3" s="4">
        <v>94376</v>
      </c>
      <c r="K3" s="4">
        <f t="shared" ref="K3:K24" si="4">IF(J3=0,0,IF(F3="long",J3-G3,G3-J3))</f>
        <v>675</v>
      </c>
      <c r="M3" t="s">
        <v>44</v>
      </c>
      <c r="N3" s="6">
        <f>N1*8</f>
        <v>23768</v>
      </c>
    </row>
    <row r="4" spans="1:17" x14ac:dyDescent="0.25">
      <c r="A4">
        <v>3</v>
      </c>
      <c r="B4" s="3">
        <v>45568</v>
      </c>
      <c r="C4" s="5">
        <v>1002.5</v>
      </c>
      <c r="D4" s="4">
        <f t="shared" si="0"/>
        <v>334</v>
      </c>
      <c r="E4" s="4">
        <f t="shared" si="1"/>
        <v>668</v>
      </c>
      <c r="F4" t="s">
        <v>25</v>
      </c>
      <c r="G4" s="4">
        <v>94400</v>
      </c>
      <c r="H4" s="4">
        <f t="shared" si="2"/>
        <v>94066</v>
      </c>
      <c r="I4" s="4">
        <f t="shared" si="3"/>
        <v>95068</v>
      </c>
      <c r="J4" s="4">
        <v>94066</v>
      </c>
      <c r="K4" s="4">
        <f t="shared" si="4"/>
        <v>-334</v>
      </c>
    </row>
    <row r="5" spans="1:17" x14ac:dyDescent="0.25">
      <c r="A5">
        <v>4</v>
      </c>
      <c r="B5" s="3">
        <v>45569</v>
      </c>
      <c r="C5" s="5">
        <v>988.82</v>
      </c>
      <c r="D5" s="4">
        <f t="shared" si="0"/>
        <v>330</v>
      </c>
      <c r="E5" s="4">
        <f t="shared" si="1"/>
        <v>659</v>
      </c>
      <c r="F5" t="s">
        <v>26</v>
      </c>
      <c r="G5" s="4">
        <v>94300</v>
      </c>
      <c r="H5" s="4">
        <f t="shared" si="2"/>
        <v>94630</v>
      </c>
      <c r="I5" s="4">
        <f t="shared" si="3"/>
        <v>93641</v>
      </c>
      <c r="J5" s="4">
        <v>94630</v>
      </c>
      <c r="K5" s="4">
        <f t="shared" si="4"/>
        <v>-330</v>
      </c>
    </row>
    <row r="6" spans="1:17" x14ac:dyDescent="0.25">
      <c r="A6">
        <v>5</v>
      </c>
      <c r="B6" s="3">
        <v>45572</v>
      </c>
      <c r="C6" s="5">
        <v>997.69</v>
      </c>
      <c r="D6" s="4">
        <f t="shared" si="0"/>
        <v>333</v>
      </c>
      <c r="E6" s="4">
        <f t="shared" si="1"/>
        <v>665</v>
      </c>
      <c r="F6" t="s">
        <v>25</v>
      </c>
      <c r="G6" s="4">
        <v>94645</v>
      </c>
      <c r="H6" s="4">
        <f t="shared" si="2"/>
        <v>94312</v>
      </c>
      <c r="I6" s="4">
        <f t="shared" si="3"/>
        <v>95310</v>
      </c>
      <c r="J6" s="4">
        <v>95310</v>
      </c>
      <c r="K6" s="4">
        <f t="shared" si="4"/>
        <v>665</v>
      </c>
    </row>
    <row r="7" spans="1:17" x14ac:dyDescent="0.25">
      <c r="A7">
        <v>6</v>
      </c>
      <c r="B7" s="3">
        <v>45573</v>
      </c>
      <c r="C7" s="5">
        <v>1011.07</v>
      </c>
      <c r="D7" s="4">
        <f t="shared" si="0"/>
        <v>337</v>
      </c>
      <c r="E7" s="4">
        <f t="shared" si="1"/>
        <v>674</v>
      </c>
      <c r="F7" t="s">
        <v>25</v>
      </c>
      <c r="G7" s="4">
        <v>95554</v>
      </c>
      <c r="H7" s="4">
        <f t="shared" si="2"/>
        <v>95217</v>
      </c>
      <c r="I7" s="4">
        <f t="shared" si="3"/>
        <v>96228</v>
      </c>
      <c r="J7" s="4">
        <v>95217</v>
      </c>
      <c r="K7" s="4">
        <f t="shared" si="4"/>
        <v>-337</v>
      </c>
    </row>
    <row r="8" spans="1:17" x14ac:dyDescent="0.25">
      <c r="A8">
        <v>7</v>
      </c>
      <c r="B8" s="3">
        <v>45574</v>
      </c>
      <c r="C8" s="5">
        <v>1006.42</v>
      </c>
      <c r="D8" s="4">
        <f t="shared" si="0"/>
        <v>335</v>
      </c>
      <c r="E8" s="4">
        <f t="shared" si="1"/>
        <v>671</v>
      </c>
      <c r="F8" t="s">
        <v>25</v>
      </c>
      <c r="G8" s="4">
        <v>95850</v>
      </c>
      <c r="H8" s="4">
        <f t="shared" si="2"/>
        <v>95515</v>
      </c>
      <c r="I8" s="4">
        <f t="shared" si="3"/>
        <v>96521</v>
      </c>
      <c r="J8" s="4">
        <v>95994</v>
      </c>
      <c r="K8" s="4">
        <f t="shared" si="4"/>
        <v>144</v>
      </c>
    </row>
    <row r="9" spans="1:17" x14ac:dyDescent="0.25">
      <c r="A9">
        <v>8</v>
      </c>
      <c r="B9" s="3">
        <v>45575</v>
      </c>
      <c r="C9" s="5">
        <v>993.61</v>
      </c>
      <c r="D9" s="4">
        <f t="shared" si="0"/>
        <v>331</v>
      </c>
      <c r="E9" s="4">
        <f t="shared" si="1"/>
        <v>662</v>
      </c>
      <c r="F9" t="s">
        <v>25</v>
      </c>
      <c r="G9" s="4">
        <v>96024</v>
      </c>
      <c r="H9" s="4">
        <f t="shared" si="2"/>
        <v>95693</v>
      </c>
      <c r="I9" s="4">
        <f t="shared" si="3"/>
        <v>96686</v>
      </c>
      <c r="J9" s="4">
        <v>95693</v>
      </c>
      <c r="K9" s="4">
        <f t="shared" si="4"/>
        <v>-331</v>
      </c>
    </row>
    <row r="10" spans="1:17" x14ac:dyDescent="0.25">
      <c r="A10">
        <v>9</v>
      </c>
      <c r="B10" s="3">
        <v>45576</v>
      </c>
      <c r="C10" s="5">
        <v>1011.92</v>
      </c>
      <c r="D10" s="4">
        <f t="shared" si="0"/>
        <v>337</v>
      </c>
      <c r="E10" s="4">
        <f t="shared" si="1"/>
        <v>675</v>
      </c>
      <c r="F10" t="s">
        <v>26</v>
      </c>
      <c r="G10" s="4">
        <v>95161</v>
      </c>
      <c r="H10" s="4">
        <f t="shared" si="2"/>
        <v>95498</v>
      </c>
      <c r="I10" s="4">
        <f t="shared" si="3"/>
        <v>94486</v>
      </c>
      <c r="J10" s="4">
        <v>94486</v>
      </c>
      <c r="K10" s="4">
        <f t="shared" si="4"/>
        <v>675</v>
      </c>
    </row>
    <row r="11" spans="1:17" x14ac:dyDescent="0.25">
      <c r="A11">
        <v>10</v>
      </c>
      <c r="B11" s="3">
        <v>45579</v>
      </c>
      <c r="C11" s="5">
        <v>1026.57</v>
      </c>
      <c r="D11" s="4">
        <f t="shared" si="0"/>
        <v>342</v>
      </c>
      <c r="E11" s="4">
        <f t="shared" si="1"/>
        <v>684</v>
      </c>
      <c r="F11" t="s">
        <v>26</v>
      </c>
      <c r="G11" s="4">
        <v>94961</v>
      </c>
      <c r="H11" s="4">
        <f t="shared" si="2"/>
        <v>95303</v>
      </c>
      <c r="I11" s="4">
        <f t="shared" si="3"/>
        <v>94277</v>
      </c>
      <c r="J11" s="4">
        <v>95026</v>
      </c>
      <c r="K11" s="4">
        <f t="shared" si="4"/>
        <v>-65</v>
      </c>
    </row>
    <row r="12" spans="1:17" x14ac:dyDescent="0.25">
      <c r="A12">
        <v>11</v>
      </c>
      <c r="B12" s="3">
        <v>45580</v>
      </c>
      <c r="C12" s="5">
        <v>1013.39</v>
      </c>
      <c r="D12" s="4">
        <f t="shared" si="0"/>
        <v>338</v>
      </c>
      <c r="E12" s="4">
        <f t="shared" si="1"/>
        <v>676</v>
      </c>
      <c r="F12" t="s">
        <v>25</v>
      </c>
      <c r="G12" s="4">
        <v>95080</v>
      </c>
      <c r="H12" s="4">
        <f t="shared" si="2"/>
        <v>94742</v>
      </c>
      <c r="I12" s="4">
        <f t="shared" si="3"/>
        <v>95756</v>
      </c>
      <c r="J12" s="4">
        <v>95756</v>
      </c>
      <c r="K12" s="4">
        <f t="shared" si="4"/>
        <v>676</v>
      </c>
    </row>
    <row r="13" spans="1:17" x14ac:dyDescent="0.25">
      <c r="A13">
        <v>12</v>
      </c>
      <c r="B13" s="3">
        <v>45581</v>
      </c>
      <c r="C13" s="5">
        <v>1063.5</v>
      </c>
      <c r="D13" s="4">
        <f t="shared" si="0"/>
        <v>355</v>
      </c>
      <c r="E13" s="4">
        <f t="shared" si="1"/>
        <v>709</v>
      </c>
      <c r="F13" t="s">
        <v>25</v>
      </c>
      <c r="G13" s="4">
        <v>96600</v>
      </c>
      <c r="H13" s="4">
        <f t="shared" si="2"/>
        <v>96245</v>
      </c>
      <c r="I13" s="4">
        <f t="shared" si="3"/>
        <v>97309</v>
      </c>
      <c r="J13" s="4">
        <v>96245</v>
      </c>
      <c r="K13" s="4">
        <f t="shared" si="4"/>
        <v>-355</v>
      </c>
    </row>
    <row r="14" spans="1:17" x14ac:dyDescent="0.25">
      <c r="A14">
        <v>13</v>
      </c>
      <c r="B14" s="3">
        <v>45582</v>
      </c>
      <c r="C14" s="5">
        <v>1083.1099999999999</v>
      </c>
      <c r="D14" s="4">
        <f t="shared" si="0"/>
        <v>361</v>
      </c>
      <c r="E14" s="4">
        <f t="shared" si="1"/>
        <v>722</v>
      </c>
      <c r="F14" t="s">
        <v>26</v>
      </c>
      <c r="G14" s="4">
        <v>96096</v>
      </c>
      <c r="H14" s="4">
        <f t="shared" si="2"/>
        <v>96457</v>
      </c>
      <c r="I14" s="4">
        <f t="shared" si="3"/>
        <v>95374</v>
      </c>
      <c r="J14" s="4">
        <v>95374</v>
      </c>
      <c r="K14" s="4">
        <f t="shared" si="4"/>
        <v>722</v>
      </c>
    </row>
    <row r="15" spans="1:17" x14ac:dyDescent="0.25">
      <c r="A15">
        <v>14</v>
      </c>
      <c r="B15" s="3">
        <v>45583</v>
      </c>
      <c r="C15" s="5">
        <v>1096.3900000000001</v>
      </c>
      <c r="D15" s="4">
        <f t="shared" si="0"/>
        <v>365</v>
      </c>
      <c r="E15" s="4">
        <f t="shared" si="1"/>
        <v>731</v>
      </c>
      <c r="F15" t="s">
        <v>26</v>
      </c>
      <c r="G15" s="4">
        <v>95383</v>
      </c>
      <c r="H15" s="4">
        <f t="shared" si="2"/>
        <v>95748</v>
      </c>
      <c r="I15" s="4">
        <f t="shared" si="3"/>
        <v>94652</v>
      </c>
      <c r="J15" s="4">
        <v>94652</v>
      </c>
      <c r="K15" s="4">
        <f t="shared" si="4"/>
        <v>731</v>
      </c>
    </row>
    <row r="16" spans="1:17" x14ac:dyDescent="0.25">
      <c r="A16">
        <v>15</v>
      </c>
      <c r="B16" s="3">
        <v>45586</v>
      </c>
      <c r="C16" s="5">
        <v>1093.1500000000001</v>
      </c>
      <c r="D16" s="4">
        <f t="shared" si="0"/>
        <v>364</v>
      </c>
      <c r="E16" s="4">
        <f t="shared" si="1"/>
        <v>729</v>
      </c>
      <c r="F16" t="s">
        <v>26</v>
      </c>
      <c r="G16" s="4">
        <v>94499</v>
      </c>
      <c r="H16" s="4">
        <f t="shared" si="2"/>
        <v>94863</v>
      </c>
      <c r="I16" s="4">
        <f t="shared" si="3"/>
        <v>93770</v>
      </c>
      <c r="J16" s="4">
        <v>94863</v>
      </c>
      <c r="K16" s="4">
        <f t="shared" si="4"/>
        <v>-364</v>
      </c>
    </row>
    <row r="17" spans="1:11" x14ac:dyDescent="0.25">
      <c r="A17">
        <v>16</v>
      </c>
      <c r="B17" s="3">
        <v>45587</v>
      </c>
      <c r="C17" s="5">
        <v>1090.56</v>
      </c>
      <c r="D17" s="4">
        <f t="shared" si="0"/>
        <v>364</v>
      </c>
      <c r="E17" s="4">
        <f t="shared" si="1"/>
        <v>727</v>
      </c>
      <c r="F17" t="s">
        <v>25</v>
      </c>
      <c r="G17" s="4">
        <v>95218</v>
      </c>
      <c r="H17" s="4">
        <f t="shared" si="2"/>
        <v>94854</v>
      </c>
      <c r="I17" s="4">
        <f t="shared" si="3"/>
        <v>95945</v>
      </c>
      <c r="J17" s="4">
        <v>95945</v>
      </c>
      <c r="K17" s="4">
        <f t="shared" si="4"/>
        <v>727</v>
      </c>
    </row>
    <row r="18" spans="1:11" x14ac:dyDescent="0.25">
      <c r="A18">
        <v>17</v>
      </c>
      <c r="B18" s="3">
        <v>45588</v>
      </c>
      <c r="C18" s="5">
        <v>1069.52</v>
      </c>
      <c r="D18" s="4">
        <f t="shared" si="0"/>
        <v>357</v>
      </c>
      <c r="E18" s="4">
        <f t="shared" si="1"/>
        <v>713</v>
      </c>
      <c r="F18" t="s">
        <v>25</v>
      </c>
      <c r="G18" s="4">
        <v>95851</v>
      </c>
      <c r="H18" s="4">
        <f t="shared" si="2"/>
        <v>95494</v>
      </c>
      <c r="I18" s="4">
        <f t="shared" si="3"/>
        <v>96564</v>
      </c>
      <c r="J18" s="4">
        <v>95494</v>
      </c>
      <c r="K18" s="4">
        <f t="shared" si="4"/>
        <v>-357</v>
      </c>
    </row>
    <row r="19" spans="1:11" x14ac:dyDescent="0.25">
      <c r="A19">
        <v>18</v>
      </c>
      <c r="B19" s="3">
        <v>45589</v>
      </c>
      <c r="C19" s="5">
        <v>1043.2</v>
      </c>
      <c r="D19" s="4">
        <f t="shared" si="0"/>
        <v>348</v>
      </c>
      <c r="E19" s="4">
        <f t="shared" si="1"/>
        <v>695</v>
      </c>
      <c r="F19" t="s">
        <v>26</v>
      </c>
      <c r="G19" s="4">
        <v>95372</v>
      </c>
      <c r="H19" s="4">
        <f t="shared" si="2"/>
        <v>95720</v>
      </c>
      <c r="I19" s="4">
        <f t="shared" si="3"/>
        <v>94677</v>
      </c>
      <c r="J19" s="4">
        <v>95720</v>
      </c>
      <c r="K19" s="4">
        <f t="shared" si="4"/>
        <v>-348</v>
      </c>
    </row>
    <row r="20" spans="1:11" x14ac:dyDescent="0.25">
      <c r="A20">
        <v>19</v>
      </c>
      <c r="B20" s="3">
        <v>45590</v>
      </c>
      <c r="C20" s="5">
        <v>1032.19</v>
      </c>
      <c r="D20" s="4">
        <f t="shared" si="0"/>
        <v>344</v>
      </c>
      <c r="E20" s="4">
        <f t="shared" si="1"/>
        <v>688</v>
      </c>
      <c r="F20" t="s">
        <v>25</v>
      </c>
      <c r="G20" s="4">
        <v>96140</v>
      </c>
      <c r="H20" s="4">
        <f t="shared" si="2"/>
        <v>95796</v>
      </c>
      <c r="I20" s="4">
        <f t="shared" si="3"/>
        <v>96828</v>
      </c>
      <c r="J20" s="4">
        <v>95796</v>
      </c>
      <c r="K20" s="4">
        <f t="shared" si="4"/>
        <v>-344</v>
      </c>
    </row>
    <row r="21" spans="1:11" x14ac:dyDescent="0.25">
      <c r="A21">
        <v>20</v>
      </c>
      <c r="B21" s="3">
        <v>45593</v>
      </c>
      <c r="C21" s="5">
        <v>1033.03</v>
      </c>
      <c r="D21" s="4">
        <f t="shared" si="0"/>
        <v>344</v>
      </c>
      <c r="E21" s="4">
        <f t="shared" si="1"/>
        <v>689</v>
      </c>
      <c r="F21" t="s">
        <v>25</v>
      </c>
      <c r="G21" s="4">
        <v>96247</v>
      </c>
      <c r="H21" s="4">
        <f t="shared" si="2"/>
        <v>95903</v>
      </c>
      <c r="I21" s="4">
        <f t="shared" si="3"/>
        <v>96936</v>
      </c>
      <c r="J21" s="4">
        <v>96936</v>
      </c>
      <c r="K21" s="4">
        <f t="shared" si="4"/>
        <v>689</v>
      </c>
    </row>
    <row r="22" spans="1:11" x14ac:dyDescent="0.25">
      <c r="A22">
        <v>21</v>
      </c>
      <c r="B22" s="3">
        <v>45594</v>
      </c>
      <c r="C22" s="5">
        <v>1086.5999999999999</v>
      </c>
      <c r="D22" s="4">
        <f t="shared" si="0"/>
        <v>362</v>
      </c>
      <c r="E22" s="4">
        <f t="shared" si="1"/>
        <v>724</v>
      </c>
      <c r="F22" t="s">
        <v>25</v>
      </c>
      <c r="G22" s="4">
        <v>97920</v>
      </c>
      <c r="H22" s="4">
        <f t="shared" si="2"/>
        <v>97558</v>
      </c>
      <c r="I22" s="4">
        <f t="shared" si="3"/>
        <v>98644</v>
      </c>
      <c r="J22" s="4">
        <v>97558</v>
      </c>
      <c r="K22" s="4">
        <f t="shared" si="4"/>
        <v>-362</v>
      </c>
    </row>
    <row r="23" spans="1:11" x14ac:dyDescent="0.25">
      <c r="A23">
        <v>22</v>
      </c>
      <c r="B23" s="3">
        <v>45595</v>
      </c>
      <c r="C23" s="5">
        <v>1057.6300000000001</v>
      </c>
      <c r="D23" s="4">
        <f t="shared" si="0"/>
        <v>353</v>
      </c>
      <c r="E23" s="4">
        <f t="shared" si="1"/>
        <v>705</v>
      </c>
      <c r="F23" t="s">
        <v>26</v>
      </c>
      <c r="G23" s="4">
        <v>97650</v>
      </c>
      <c r="H23" s="4">
        <f t="shared" si="2"/>
        <v>98003</v>
      </c>
      <c r="I23" s="4">
        <f t="shared" si="3"/>
        <v>96945</v>
      </c>
      <c r="J23" s="4">
        <v>96945</v>
      </c>
      <c r="K23" s="4">
        <f t="shared" si="4"/>
        <v>705</v>
      </c>
    </row>
    <row r="24" spans="1:11" x14ac:dyDescent="0.25">
      <c r="A24">
        <v>23</v>
      </c>
      <c r="B24" s="3">
        <v>45596</v>
      </c>
      <c r="C24" s="5">
        <v>1065.01</v>
      </c>
      <c r="D24" s="4">
        <f t="shared" si="0"/>
        <v>355</v>
      </c>
      <c r="E24" s="4">
        <f t="shared" si="1"/>
        <v>710</v>
      </c>
      <c r="F24" t="s">
        <v>26</v>
      </c>
      <c r="G24" s="4">
        <v>96950</v>
      </c>
      <c r="H24" s="4">
        <f t="shared" si="2"/>
        <v>97305</v>
      </c>
      <c r="I24" s="4">
        <f t="shared" si="3"/>
        <v>96240</v>
      </c>
      <c r="J24" s="4">
        <v>97305</v>
      </c>
      <c r="K24" s="4">
        <f t="shared" si="4"/>
        <v>-355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ECCE-4462-4B83-BA8A-C7B60ECD1EF0}">
  <dimension ref="A1:Q24"/>
  <sheetViews>
    <sheetView workbookViewId="0">
      <selection activeCell="A8" sqref="A8"/>
    </sheetView>
  </sheetViews>
  <sheetFormatPr defaultRowHeight="15" x14ac:dyDescent="0.25"/>
  <cols>
    <col min="1" max="1" width="3.140625" bestFit="1" customWidth="1"/>
    <col min="2" max="2" width="10.140625" bestFit="1" customWidth="1"/>
    <col min="3" max="3" width="9.42578125" style="5" bestFit="1" customWidth="1"/>
    <col min="4" max="4" width="7.7109375" style="4" bestFit="1" customWidth="1"/>
    <col min="5" max="5" width="7.140625" style="4" bestFit="1" customWidth="1"/>
    <col min="7" max="7" width="10.7109375" style="4" bestFit="1" customWidth="1"/>
    <col min="8" max="9" width="7.85546875" style="4" bestFit="1" customWidth="1"/>
    <col min="10" max="10" width="12.140625" style="4" bestFit="1" customWidth="1"/>
    <col min="11" max="11" width="16" style="4" bestFit="1" customWidth="1"/>
  </cols>
  <sheetData>
    <row r="1" spans="1:17" x14ac:dyDescent="0.25">
      <c r="A1" t="s">
        <v>15</v>
      </c>
      <c r="B1" t="s">
        <v>16</v>
      </c>
      <c r="C1" s="5" t="s">
        <v>7</v>
      </c>
      <c r="D1" s="4" t="s">
        <v>17</v>
      </c>
      <c r="E1" s="4" t="s">
        <v>18</v>
      </c>
      <c r="F1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M1" s="4" t="s">
        <v>27</v>
      </c>
      <c r="N1" s="6">
        <f>SUM(K:K) - 10*MAX(A:A)</f>
        <v>-1081</v>
      </c>
      <c r="P1" t="s">
        <v>28</v>
      </c>
      <c r="Q1" s="7">
        <f>COUNTIF(K:K,"&gt;0")/(COUNTA(K:K)-1)</f>
        <v>0.16666666666666666</v>
      </c>
    </row>
    <row r="2" spans="1:17" x14ac:dyDescent="0.25">
      <c r="A2">
        <v>1</v>
      </c>
      <c r="B2" s="3">
        <v>45597</v>
      </c>
      <c r="C2" s="5">
        <v>1056.72</v>
      </c>
      <c r="D2" s="4">
        <f>ROUND(C2/3,0)</f>
        <v>352</v>
      </c>
      <c r="E2" s="4">
        <f>ROUND(C2*2/3,0)</f>
        <v>704</v>
      </c>
      <c r="F2" t="s">
        <v>25</v>
      </c>
      <c r="G2" s="4">
        <v>97106</v>
      </c>
      <c r="H2" s="4">
        <f>IF(F2="long",G2-D2,G2+D2)</f>
        <v>96754</v>
      </c>
      <c r="I2" s="4">
        <f>IF(F2="long",G2+E2,G2-E2)</f>
        <v>97810</v>
      </c>
      <c r="J2" s="4">
        <v>97810</v>
      </c>
      <c r="K2" s="4">
        <f>IF(J2=0,0,IF(F2="long",J2-G2,G2-J2))</f>
        <v>704</v>
      </c>
      <c r="M2" t="s">
        <v>43</v>
      </c>
      <c r="N2" s="6">
        <f>N1*4</f>
        <v>-4324</v>
      </c>
    </row>
    <row r="3" spans="1:17" x14ac:dyDescent="0.25">
      <c r="A3">
        <v>2</v>
      </c>
      <c r="B3" s="3">
        <v>45598</v>
      </c>
      <c r="C3" s="5">
        <v>1054.74</v>
      </c>
      <c r="D3" s="4">
        <f t="shared" ref="D3:D4" si="0">ROUND(C3/3,0)</f>
        <v>352</v>
      </c>
      <c r="E3" s="4">
        <f t="shared" ref="E3:E4" si="1">ROUND(C3*2/3,0)</f>
        <v>703</v>
      </c>
      <c r="F3" t="s">
        <v>25</v>
      </c>
      <c r="G3" s="4">
        <v>97704</v>
      </c>
      <c r="H3" s="4">
        <f t="shared" ref="H3" si="2">IF(F3="long",G3-D3,G3+D3)</f>
        <v>97352</v>
      </c>
      <c r="I3" s="4">
        <f t="shared" ref="I3" si="3">IF(F3="long",G3+E3,G3-E3)</f>
        <v>98407</v>
      </c>
      <c r="J3" s="4">
        <v>97352</v>
      </c>
      <c r="K3" s="4">
        <f t="shared" ref="K3:K7" si="4">IF(J3=0,0,IF(F3="long",J3-G3,G3-J3))</f>
        <v>-352</v>
      </c>
      <c r="M3" t="s">
        <v>44</v>
      </c>
      <c r="N3" s="6">
        <f>N1*8</f>
        <v>-8648</v>
      </c>
    </row>
    <row r="4" spans="1:17" x14ac:dyDescent="0.25">
      <c r="A4">
        <v>3</v>
      </c>
      <c r="B4" s="3">
        <v>45601</v>
      </c>
      <c r="C4" s="5">
        <v>1025.6199999999999</v>
      </c>
      <c r="D4" s="4">
        <f t="shared" si="0"/>
        <v>342</v>
      </c>
      <c r="E4" s="4">
        <f t="shared" si="1"/>
        <v>684</v>
      </c>
      <c r="F4" t="s">
        <v>26</v>
      </c>
      <c r="G4" s="4">
        <v>97510</v>
      </c>
      <c r="H4" s="4">
        <f t="shared" ref="H4" si="5">IF(F4="long",G4-D4,G4+D4)</f>
        <v>97852</v>
      </c>
      <c r="I4" s="4">
        <f t="shared" ref="I4" si="6">IF(F4="long",G4+E4,G4-E4)</f>
        <v>96826</v>
      </c>
      <c r="J4" s="4">
        <v>97852</v>
      </c>
      <c r="K4" s="4">
        <f t="shared" si="4"/>
        <v>-342</v>
      </c>
    </row>
    <row r="5" spans="1:17" x14ac:dyDescent="0.25">
      <c r="A5">
        <v>4</v>
      </c>
      <c r="B5" s="3">
        <v>45602</v>
      </c>
      <c r="C5" s="5">
        <v>1012.72</v>
      </c>
      <c r="D5" s="4">
        <f t="shared" ref="D5:D7" si="7">ROUND(C5/3,0)</f>
        <v>338</v>
      </c>
      <c r="E5" s="4">
        <f t="shared" ref="E5:E7" si="8">ROUND(C5*2/3,0)</f>
        <v>675</v>
      </c>
      <c r="F5" t="s">
        <v>25</v>
      </c>
      <c r="G5" s="4">
        <v>97380</v>
      </c>
      <c r="H5" s="4">
        <f t="shared" ref="H5:H7" si="9">IF(F5="long",G5-D5,G5+D5)</f>
        <v>97042</v>
      </c>
      <c r="I5" s="4">
        <f t="shared" ref="I5:I7" si="10">IF(F5="long",G5+E5,G5-E5)</f>
        <v>98055</v>
      </c>
      <c r="J5" s="4">
        <v>97042</v>
      </c>
      <c r="K5" s="4">
        <f t="shared" si="4"/>
        <v>-338</v>
      </c>
    </row>
    <row r="6" spans="1:17" x14ac:dyDescent="0.25">
      <c r="A6">
        <v>5</v>
      </c>
      <c r="B6" s="3">
        <v>45603</v>
      </c>
      <c r="C6" s="5">
        <v>1054.02</v>
      </c>
      <c r="D6" s="4">
        <f t="shared" si="7"/>
        <v>351</v>
      </c>
      <c r="E6" s="4">
        <f t="shared" si="8"/>
        <v>703</v>
      </c>
      <c r="F6" t="s">
        <v>25</v>
      </c>
      <c r="G6" s="4">
        <v>98045</v>
      </c>
      <c r="H6" s="4">
        <f t="shared" si="9"/>
        <v>97694</v>
      </c>
      <c r="I6" s="4">
        <f t="shared" si="10"/>
        <v>98748</v>
      </c>
      <c r="J6" s="4">
        <v>97694</v>
      </c>
      <c r="K6" s="4">
        <f t="shared" si="4"/>
        <v>-351</v>
      </c>
    </row>
    <row r="7" spans="1:17" x14ac:dyDescent="0.25">
      <c r="A7">
        <v>6</v>
      </c>
      <c r="B7" s="3">
        <v>45604</v>
      </c>
      <c r="C7" s="5">
        <v>1026.02</v>
      </c>
      <c r="D7" s="4">
        <f t="shared" si="7"/>
        <v>342</v>
      </c>
      <c r="E7" s="4">
        <f t="shared" si="8"/>
        <v>684</v>
      </c>
      <c r="F7" t="s">
        <v>26</v>
      </c>
      <c r="G7" s="4">
        <v>97950</v>
      </c>
      <c r="H7" s="4">
        <f t="shared" si="9"/>
        <v>98292</v>
      </c>
      <c r="I7" s="4">
        <f t="shared" si="10"/>
        <v>97266</v>
      </c>
      <c r="J7" s="4">
        <v>98292</v>
      </c>
      <c r="K7" s="4">
        <f t="shared" si="4"/>
        <v>-342</v>
      </c>
    </row>
    <row r="8" spans="1:17" x14ac:dyDescent="0.25">
      <c r="B8" s="3"/>
    </row>
    <row r="9" spans="1:17" x14ac:dyDescent="0.25">
      <c r="B9" s="3"/>
    </row>
    <row r="10" spans="1:17" x14ac:dyDescent="0.25">
      <c r="B10" s="3"/>
    </row>
    <row r="11" spans="1:17" x14ac:dyDescent="0.25">
      <c r="B11" s="3"/>
    </row>
    <row r="12" spans="1:17" x14ac:dyDescent="0.25">
      <c r="B12" s="3"/>
    </row>
    <row r="13" spans="1:17" x14ac:dyDescent="0.25">
      <c r="B13" s="3"/>
    </row>
    <row r="14" spans="1:17" x14ac:dyDescent="0.25">
      <c r="B14" s="3"/>
    </row>
    <row r="15" spans="1:17" x14ac:dyDescent="0.25">
      <c r="B15" s="3"/>
    </row>
    <row r="16" spans="1:17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3482-2F21-41B0-AD76-77B5D9A77789}">
  <dimension ref="A1:P454"/>
  <sheetViews>
    <sheetView tabSelected="1" topLeftCell="B1" workbookViewId="0">
      <selection activeCell="P1" sqref="P1"/>
    </sheetView>
  </sheetViews>
  <sheetFormatPr defaultRowHeight="15" x14ac:dyDescent="0.25"/>
  <cols>
    <col min="1" max="1" width="18.28515625" bestFit="1" customWidth="1"/>
    <col min="2" max="2" width="14.42578125" bestFit="1" customWidth="1"/>
    <col min="3" max="3" width="15" bestFit="1" customWidth="1"/>
    <col min="4" max="4" width="17.85546875" bestFit="1" customWidth="1"/>
    <col min="5" max="5" width="17.140625" bestFit="1" customWidth="1"/>
    <col min="6" max="6" width="18.42578125" bestFit="1" customWidth="1"/>
    <col min="7" max="7" width="13.28515625" bestFit="1" customWidth="1"/>
    <col min="8" max="8" width="13.85546875" bestFit="1" customWidth="1"/>
    <col min="9" max="9" width="16.5703125" bestFit="1" customWidth="1"/>
    <col min="10" max="10" width="16" bestFit="1" customWidth="1"/>
    <col min="11" max="11" width="17.140625" bestFit="1" customWidth="1"/>
    <col min="12" max="12" width="18.5703125" bestFit="1" customWidth="1"/>
    <col min="13" max="13" width="25" bestFit="1" customWidth="1"/>
    <col min="15" max="15" width="18.28515625" bestFit="1" customWidth="1"/>
    <col min="16" max="16" width="11.42578125" bestFit="1" customWidth="1"/>
  </cols>
  <sheetData>
    <row r="1" spans="1:16" x14ac:dyDescent="0.25">
      <c r="A1" s="17" t="s">
        <v>0</v>
      </c>
      <c r="B1" s="18" t="s">
        <v>45</v>
      </c>
      <c r="C1" s="18" t="s">
        <v>46</v>
      </c>
      <c r="D1" s="18" t="s">
        <v>53</v>
      </c>
      <c r="E1" s="18" t="s">
        <v>51</v>
      </c>
      <c r="F1" s="18" t="s">
        <v>47</v>
      </c>
      <c r="G1" s="18" t="s">
        <v>48</v>
      </c>
      <c r="H1" s="18" t="s">
        <v>49</v>
      </c>
      <c r="I1" s="18" t="s">
        <v>54</v>
      </c>
      <c r="J1" s="18" t="s">
        <v>52</v>
      </c>
      <c r="K1" s="18" t="s">
        <v>50</v>
      </c>
      <c r="L1" s="18" t="s">
        <v>14</v>
      </c>
      <c r="M1" s="21" t="s">
        <v>57</v>
      </c>
      <c r="O1" s="19" t="s">
        <v>55</v>
      </c>
      <c r="P1" s="20">
        <f>COUNTIF(L:L,"&gt;0")/(COUNTA(L:L)-1)</f>
        <v>0.78366445916114791</v>
      </c>
    </row>
    <row r="2" spans="1:16" x14ac:dyDescent="0.25">
      <c r="A2" s="2">
        <v>44949</v>
      </c>
      <c r="B2">
        <v>425</v>
      </c>
      <c r="C2">
        <v>502</v>
      </c>
      <c r="D2">
        <v>-50</v>
      </c>
      <c r="E2">
        <v>179</v>
      </c>
      <c r="F2">
        <v>14</v>
      </c>
      <c r="G2">
        <v>1</v>
      </c>
      <c r="H2">
        <v>1</v>
      </c>
      <c r="I2">
        <v>4</v>
      </c>
      <c r="J2">
        <v>2</v>
      </c>
      <c r="K2">
        <v>3</v>
      </c>
      <c r="L2">
        <v>999</v>
      </c>
      <c r="M2" s="23">
        <f>$P$2+L2</f>
        <v>160999</v>
      </c>
      <c r="O2" t="s">
        <v>56</v>
      </c>
      <c r="P2" s="22">
        <v>160000</v>
      </c>
    </row>
    <row r="3" spans="1:16" x14ac:dyDescent="0.25">
      <c r="A3" s="2">
        <v>44950</v>
      </c>
      <c r="B3">
        <v>-122</v>
      </c>
      <c r="C3">
        <v>-66</v>
      </c>
      <c r="D3">
        <v>94</v>
      </c>
      <c r="E3">
        <v>104</v>
      </c>
      <c r="F3">
        <v>50</v>
      </c>
      <c r="G3">
        <v>1</v>
      </c>
      <c r="H3">
        <v>1</v>
      </c>
      <c r="I3">
        <v>4</v>
      </c>
      <c r="J3">
        <v>2</v>
      </c>
      <c r="K3">
        <v>3</v>
      </c>
      <c r="L3">
        <v>418</v>
      </c>
      <c r="M3" s="23">
        <f>M2+L3</f>
        <v>161417</v>
      </c>
    </row>
    <row r="4" spans="1:16" x14ac:dyDescent="0.25">
      <c r="A4" s="2">
        <v>44951</v>
      </c>
      <c r="B4">
        <v>-202</v>
      </c>
      <c r="C4">
        <v>-383</v>
      </c>
      <c r="D4">
        <v>-150</v>
      </c>
      <c r="E4">
        <v>-32</v>
      </c>
      <c r="F4">
        <v>70</v>
      </c>
      <c r="G4">
        <v>1</v>
      </c>
      <c r="H4">
        <v>1</v>
      </c>
      <c r="I4">
        <v>4</v>
      </c>
      <c r="J4">
        <v>2</v>
      </c>
      <c r="K4">
        <v>3</v>
      </c>
      <c r="L4">
        <v>-1167</v>
      </c>
      <c r="M4" s="23">
        <f t="shared" ref="M4:M67" si="0">M3+L4</f>
        <v>160250</v>
      </c>
    </row>
    <row r="5" spans="1:16" x14ac:dyDescent="0.25">
      <c r="A5" s="2">
        <v>44952</v>
      </c>
      <c r="B5">
        <v>-314</v>
      </c>
      <c r="C5">
        <v>-273</v>
      </c>
      <c r="D5">
        <v>96</v>
      </c>
      <c r="E5">
        <v>-52</v>
      </c>
      <c r="F5">
        <v>34</v>
      </c>
      <c r="G5">
        <v>1</v>
      </c>
      <c r="H5">
        <v>1</v>
      </c>
      <c r="I5">
        <v>4</v>
      </c>
      <c r="J5">
        <v>2</v>
      </c>
      <c r="K5">
        <v>3</v>
      </c>
      <c r="L5">
        <v>-333</v>
      </c>
      <c r="M5" s="23">
        <f t="shared" si="0"/>
        <v>159917</v>
      </c>
    </row>
    <row r="6" spans="1:16" x14ac:dyDescent="0.25">
      <c r="A6" s="2">
        <v>44953</v>
      </c>
      <c r="B6">
        <v>-329</v>
      </c>
      <c r="C6">
        <v>-167</v>
      </c>
      <c r="D6">
        <v>-152</v>
      </c>
      <c r="E6">
        <v>-85</v>
      </c>
      <c r="F6">
        <v>12</v>
      </c>
      <c r="G6">
        <v>1</v>
      </c>
      <c r="H6">
        <v>1</v>
      </c>
      <c r="I6">
        <v>4</v>
      </c>
      <c r="J6">
        <v>2</v>
      </c>
      <c r="K6">
        <v>3</v>
      </c>
      <c r="L6">
        <v>-1366</v>
      </c>
      <c r="M6" s="23">
        <f t="shared" si="0"/>
        <v>158551</v>
      </c>
    </row>
    <row r="7" spans="1:16" x14ac:dyDescent="0.25">
      <c r="A7" s="2">
        <v>44956</v>
      </c>
      <c r="B7">
        <v>737</v>
      </c>
      <c r="C7">
        <v>769</v>
      </c>
      <c r="D7">
        <v>96</v>
      </c>
      <c r="E7">
        <v>6</v>
      </c>
      <c r="F7">
        <v>6</v>
      </c>
      <c r="G7">
        <v>1</v>
      </c>
      <c r="H7">
        <v>1</v>
      </c>
      <c r="I7">
        <v>4</v>
      </c>
      <c r="J7">
        <v>2</v>
      </c>
      <c r="K7">
        <v>3</v>
      </c>
      <c r="L7">
        <v>1792</v>
      </c>
      <c r="M7" s="23">
        <f t="shared" si="0"/>
        <v>160343</v>
      </c>
    </row>
    <row r="8" spans="1:16" x14ac:dyDescent="0.25">
      <c r="A8" s="2">
        <v>44957</v>
      </c>
      <c r="B8">
        <v>376</v>
      </c>
      <c r="C8">
        <v>392</v>
      </c>
      <c r="D8">
        <v>14</v>
      </c>
      <c r="E8">
        <v>193</v>
      </c>
      <c r="F8">
        <v>68</v>
      </c>
      <c r="G8">
        <v>1</v>
      </c>
      <c r="H8">
        <v>1</v>
      </c>
      <c r="I8">
        <v>4</v>
      </c>
      <c r="J8">
        <v>2</v>
      </c>
      <c r="K8">
        <v>3</v>
      </c>
      <c r="L8">
        <v>1286</v>
      </c>
      <c r="M8" s="23">
        <f t="shared" si="0"/>
        <v>161629</v>
      </c>
    </row>
    <row r="9" spans="1:16" x14ac:dyDescent="0.25">
      <c r="A9" s="2">
        <v>44958</v>
      </c>
      <c r="B9">
        <v>89</v>
      </c>
      <c r="C9">
        <v>-527</v>
      </c>
      <c r="D9">
        <v>37</v>
      </c>
      <c r="E9">
        <v>-56</v>
      </c>
      <c r="F9">
        <v>15</v>
      </c>
      <c r="G9">
        <v>1</v>
      </c>
      <c r="H9">
        <v>1</v>
      </c>
      <c r="I9">
        <v>4</v>
      </c>
      <c r="J9">
        <v>2</v>
      </c>
      <c r="K9">
        <v>3</v>
      </c>
      <c r="L9">
        <v>-485</v>
      </c>
      <c r="M9" s="23">
        <f t="shared" si="0"/>
        <v>161144</v>
      </c>
    </row>
    <row r="10" spans="1:16" x14ac:dyDescent="0.25">
      <c r="A10" s="2">
        <v>44959</v>
      </c>
      <c r="B10">
        <v>168</v>
      </c>
      <c r="C10">
        <v>-306</v>
      </c>
      <c r="D10">
        <v>74</v>
      </c>
      <c r="E10">
        <v>114</v>
      </c>
      <c r="F10">
        <v>-16</v>
      </c>
      <c r="G10">
        <v>1</v>
      </c>
      <c r="H10">
        <v>1</v>
      </c>
      <c r="I10">
        <v>4</v>
      </c>
      <c r="J10">
        <v>2</v>
      </c>
      <c r="K10">
        <v>3</v>
      </c>
      <c r="L10">
        <v>210</v>
      </c>
      <c r="M10" s="23">
        <f t="shared" si="0"/>
        <v>161354</v>
      </c>
    </row>
    <row r="11" spans="1:16" x14ac:dyDescent="0.25">
      <c r="A11" s="2">
        <v>44960</v>
      </c>
      <c r="B11">
        <v>320</v>
      </c>
      <c r="C11">
        <v>-232</v>
      </c>
      <c r="D11">
        <v>90</v>
      </c>
      <c r="E11">
        <v>204</v>
      </c>
      <c r="F11">
        <v>-36</v>
      </c>
      <c r="G11">
        <v>1</v>
      </c>
      <c r="H11">
        <v>1</v>
      </c>
      <c r="I11">
        <v>4</v>
      </c>
      <c r="J11">
        <v>2</v>
      </c>
      <c r="K11">
        <v>3</v>
      </c>
      <c r="L11">
        <v>620</v>
      </c>
      <c r="M11" s="23">
        <f t="shared" si="0"/>
        <v>161974</v>
      </c>
    </row>
    <row r="12" spans="1:16" x14ac:dyDescent="0.25">
      <c r="A12" s="2">
        <v>44963</v>
      </c>
      <c r="B12">
        <v>377</v>
      </c>
      <c r="C12">
        <v>99</v>
      </c>
      <c r="D12">
        <v>102</v>
      </c>
      <c r="E12">
        <v>210</v>
      </c>
      <c r="F12">
        <v>76</v>
      </c>
      <c r="G12">
        <v>1</v>
      </c>
      <c r="H12">
        <v>1</v>
      </c>
      <c r="I12">
        <v>4</v>
      </c>
      <c r="J12">
        <v>2</v>
      </c>
      <c r="K12">
        <v>3</v>
      </c>
      <c r="L12">
        <v>1404</v>
      </c>
      <c r="M12" s="23">
        <f t="shared" si="0"/>
        <v>163378</v>
      </c>
    </row>
    <row r="13" spans="1:16" x14ac:dyDescent="0.25">
      <c r="A13" s="2">
        <v>44964</v>
      </c>
      <c r="B13">
        <v>-216</v>
      </c>
      <c r="C13">
        <v>320</v>
      </c>
      <c r="D13">
        <v>-22</v>
      </c>
      <c r="E13">
        <v>112</v>
      </c>
      <c r="F13">
        <v>79</v>
      </c>
      <c r="G13">
        <v>1</v>
      </c>
      <c r="H13">
        <v>1</v>
      </c>
      <c r="I13">
        <v>4</v>
      </c>
      <c r="J13">
        <v>2</v>
      </c>
      <c r="K13">
        <v>3</v>
      </c>
      <c r="L13">
        <v>349</v>
      </c>
      <c r="M13" s="23">
        <f t="shared" si="0"/>
        <v>163727</v>
      </c>
    </row>
    <row r="14" spans="1:16" x14ac:dyDescent="0.25">
      <c r="A14" s="2">
        <v>44965</v>
      </c>
      <c r="B14">
        <v>330</v>
      </c>
      <c r="C14">
        <v>352</v>
      </c>
      <c r="D14">
        <v>198</v>
      </c>
      <c r="E14">
        <v>133</v>
      </c>
      <c r="F14">
        <v>111</v>
      </c>
      <c r="G14">
        <v>1</v>
      </c>
      <c r="H14">
        <v>1</v>
      </c>
      <c r="I14">
        <v>4</v>
      </c>
      <c r="J14">
        <v>2</v>
      </c>
      <c r="K14">
        <v>3</v>
      </c>
      <c r="L14">
        <v>1945</v>
      </c>
      <c r="M14" s="23">
        <f t="shared" si="0"/>
        <v>165672</v>
      </c>
    </row>
    <row r="15" spans="1:16" x14ac:dyDescent="0.25">
      <c r="A15" s="2">
        <v>44966</v>
      </c>
      <c r="B15">
        <v>-149</v>
      </c>
      <c r="C15">
        <v>236</v>
      </c>
      <c r="D15">
        <v>-117</v>
      </c>
      <c r="E15">
        <v>-153</v>
      </c>
      <c r="F15">
        <v>50</v>
      </c>
      <c r="G15">
        <v>1</v>
      </c>
      <c r="H15">
        <v>1</v>
      </c>
      <c r="I15">
        <v>4</v>
      </c>
      <c r="J15">
        <v>2</v>
      </c>
      <c r="K15">
        <v>3</v>
      </c>
      <c r="L15">
        <v>-665</v>
      </c>
      <c r="M15" s="23">
        <f t="shared" si="0"/>
        <v>165007</v>
      </c>
    </row>
    <row r="16" spans="1:16" x14ac:dyDescent="0.25">
      <c r="A16" s="2">
        <v>44967</v>
      </c>
      <c r="B16">
        <v>153</v>
      </c>
      <c r="C16">
        <v>361</v>
      </c>
      <c r="D16">
        <v>-21</v>
      </c>
      <c r="E16">
        <v>41</v>
      </c>
      <c r="F16">
        <v>-31</v>
      </c>
      <c r="G16">
        <v>1</v>
      </c>
      <c r="H16">
        <v>1</v>
      </c>
      <c r="I16">
        <v>4</v>
      </c>
      <c r="J16">
        <v>2</v>
      </c>
      <c r="K16">
        <v>3</v>
      </c>
      <c r="L16">
        <v>291</v>
      </c>
      <c r="M16" s="23">
        <f t="shared" si="0"/>
        <v>165298</v>
      </c>
    </row>
    <row r="17" spans="1:13" x14ac:dyDescent="0.25">
      <c r="A17" s="2">
        <v>44970</v>
      </c>
      <c r="B17">
        <v>-135</v>
      </c>
      <c r="C17">
        <v>-595</v>
      </c>
      <c r="D17">
        <v>107</v>
      </c>
      <c r="E17">
        <v>119</v>
      </c>
      <c r="F17">
        <v>16</v>
      </c>
      <c r="G17">
        <v>1</v>
      </c>
      <c r="H17">
        <v>1</v>
      </c>
      <c r="I17">
        <v>4</v>
      </c>
      <c r="J17">
        <v>2</v>
      </c>
      <c r="K17">
        <v>3</v>
      </c>
      <c r="L17">
        <v>-144</v>
      </c>
      <c r="M17" s="23">
        <f t="shared" si="0"/>
        <v>165154</v>
      </c>
    </row>
    <row r="18" spans="1:13" x14ac:dyDescent="0.25">
      <c r="A18" s="2">
        <v>44971</v>
      </c>
      <c r="B18">
        <v>-237</v>
      </c>
      <c r="C18">
        <v>-89</v>
      </c>
      <c r="D18">
        <v>151</v>
      </c>
      <c r="E18">
        <v>235</v>
      </c>
      <c r="F18">
        <v>72</v>
      </c>
      <c r="G18">
        <v>1</v>
      </c>
      <c r="H18">
        <v>1</v>
      </c>
      <c r="I18">
        <v>4</v>
      </c>
      <c r="J18">
        <v>2</v>
      </c>
      <c r="K18">
        <v>3</v>
      </c>
      <c r="L18">
        <v>836</v>
      </c>
      <c r="M18" s="23">
        <f t="shared" si="0"/>
        <v>165990</v>
      </c>
    </row>
    <row r="19" spans="1:13" x14ac:dyDescent="0.25">
      <c r="A19" s="2">
        <v>44972</v>
      </c>
      <c r="B19">
        <v>-607</v>
      </c>
      <c r="C19">
        <v>-482</v>
      </c>
      <c r="D19">
        <v>188</v>
      </c>
      <c r="E19">
        <v>233</v>
      </c>
      <c r="F19">
        <v>143</v>
      </c>
      <c r="G19">
        <v>1</v>
      </c>
      <c r="H19">
        <v>1</v>
      </c>
      <c r="I19">
        <v>4</v>
      </c>
      <c r="J19">
        <v>2</v>
      </c>
      <c r="K19">
        <v>3</v>
      </c>
      <c r="L19">
        <v>430</v>
      </c>
      <c r="M19" s="23">
        <f t="shared" si="0"/>
        <v>166420</v>
      </c>
    </row>
    <row r="20" spans="1:13" x14ac:dyDescent="0.25">
      <c r="A20" s="2">
        <v>44973</v>
      </c>
      <c r="B20">
        <v>628</v>
      </c>
      <c r="C20">
        <v>546</v>
      </c>
      <c r="D20">
        <v>16</v>
      </c>
      <c r="E20">
        <v>-69</v>
      </c>
      <c r="F20">
        <v>-54</v>
      </c>
      <c r="G20">
        <v>1</v>
      </c>
      <c r="H20">
        <v>1</v>
      </c>
      <c r="I20">
        <v>4</v>
      </c>
      <c r="J20">
        <v>2</v>
      </c>
      <c r="K20">
        <v>3</v>
      </c>
      <c r="L20">
        <v>810</v>
      </c>
      <c r="M20" s="23">
        <f t="shared" si="0"/>
        <v>167230</v>
      </c>
    </row>
    <row r="21" spans="1:13" x14ac:dyDescent="0.25">
      <c r="A21" s="2">
        <v>44974</v>
      </c>
      <c r="B21">
        <v>337</v>
      </c>
      <c r="C21">
        <v>356</v>
      </c>
      <c r="D21">
        <v>34</v>
      </c>
      <c r="E21">
        <v>227</v>
      </c>
      <c r="F21">
        <v>159</v>
      </c>
      <c r="G21">
        <v>1</v>
      </c>
      <c r="H21">
        <v>1</v>
      </c>
      <c r="I21">
        <v>4</v>
      </c>
      <c r="J21">
        <v>2</v>
      </c>
      <c r="K21">
        <v>3</v>
      </c>
      <c r="L21">
        <v>1632</v>
      </c>
      <c r="M21" s="23">
        <f t="shared" si="0"/>
        <v>168862</v>
      </c>
    </row>
    <row r="22" spans="1:13" x14ac:dyDescent="0.25">
      <c r="A22" s="2">
        <v>44977</v>
      </c>
      <c r="B22">
        <v>349</v>
      </c>
      <c r="C22">
        <v>377</v>
      </c>
      <c r="D22">
        <v>-24</v>
      </c>
      <c r="E22">
        <v>64</v>
      </c>
      <c r="F22">
        <v>84</v>
      </c>
      <c r="G22">
        <v>1</v>
      </c>
      <c r="H22">
        <v>1</v>
      </c>
      <c r="I22">
        <v>4</v>
      </c>
      <c r="J22">
        <v>2</v>
      </c>
      <c r="K22">
        <v>3</v>
      </c>
      <c r="L22">
        <v>882</v>
      </c>
      <c r="M22" s="23">
        <f t="shared" si="0"/>
        <v>169744</v>
      </c>
    </row>
    <row r="23" spans="1:13" x14ac:dyDescent="0.25">
      <c r="A23" s="2">
        <v>44978</v>
      </c>
      <c r="B23">
        <v>-263</v>
      </c>
      <c r="C23">
        <v>-334</v>
      </c>
      <c r="D23">
        <v>-130</v>
      </c>
      <c r="E23">
        <v>256</v>
      </c>
      <c r="F23">
        <v>85</v>
      </c>
      <c r="G23">
        <v>1</v>
      </c>
      <c r="H23">
        <v>1</v>
      </c>
      <c r="I23">
        <v>4</v>
      </c>
      <c r="J23">
        <v>2</v>
      </c>
      <c r="K23">
        <v>3</v>
      </c>
      <c r="L23">
        <v>-478</v>
      </c>
      <c r="M23" s="23">
        <f t="shared" si="0"/>
        <v>169266</v>
      </c>
    </row>
    <row r="24" spans="1:13" x14ac:dyDescent="0.25">
      <c r="A24" s="2">
        <v>44979</v>
      </c>
      <c r="B24">
        <v>-486</v>
      </c>
      <c r="C24">
        <v>-225</v>
      </c>
      <c r="D24">
        <v>53</v>
      </c>
      <c r="E24">
        <v>-63</v>
      </c>
      <c r="F24">
        <v>91</v>
      </c>
      <c r="G24">
        <v>1</v>
      </c>
      <c r="H24">
        <v>1</v>
      </c>
      <c r="I24">
        <v>4</v>
      </c>
      <c r="J24">
        <v>2</v>
      </c>
      <c r="K24">
        <v>3</v>
      </c>
      <c r="L24">
        <v>-480</v>
      </c>
      <c r="M24" s="23">
        <f t="shared" si="0"/>
        <v>168786</v>
      </c>
    </row>
    <row r="25" spans="1:13" x14ac:dyDescent="0.25">
      <c r="A25" s="2">
        <v>44981</v>
      </c>
      <c r="B25">
        <v>606</v>
      </c>
      <c r="C25">
        <v>305</v>
      </c>
      <c r="D25">
        <v>-91</v>
      </c>
      <c r="E25">
        <v>-96</v>
      </c>
      <c r="F25">
        <v>-148</v>
      </c>
      <c r="G25">
        <v>1</v>
      </c>
      <c r="H25">
        <v>1</v>
      </c>
      <c r="I25">
        <v>4</v>
      </c>
      <c r="J25">
        <v>2</v>
      </c>
      <c r="K25">
        <v>3</v>
      </c>
      <c r="L25">
        <v>-217</v>
      </c>
      <c r="M25" s="23">
        <f t="shared" si="0"/>
        <v>168569</v>
      </c>
    </row>
    <row r="26" spans="1:13" x14ac:dyDescent="0.25">
      <c r="A26" s="2">
        <v>44984</v>
      </c>
      <c r="B26">
        <v>382</v>
      </c>
      <c r="C26">
        <v>408</v>
      </c>
      <c r="D26">
        <v>104</v>
      </c>
      <c r="E26">
        <v>253</v>
      </c>
      <c r="F26">
        <v>183</v>
      </c>
      <c r="G26">
        <v>1</v>
      </c>
      <c r="H26">
        <v>1</v>
      </c>
      <c r="I26">
        <v>4</v>
      </c>
      <c r="J26">
        <v>2</v>
      </c>
      <c r="K26">
        <v>3</v>
      </c>
      <c r="L26">
        <v>2133</v>
      </c>
      <c r="M26" s="23">
        <f t="shared" si="0"/>
        <v>170702</v>
      </c>
    </row>
    <row r="27" spans="1:13" x14ac:dyDescent="0.25">
      <c r="A27" s="2">
        <v>44985</v>
      </c>
      <c r="B27">
        <v>404</v>
      </c>
      <c r="C27">
        <v>428</v>
      </c>
      <c r="D27">
        <v>107</v>
      </c>
      <c r="E27">
        <v>-90</v>
      </c>
      <c r="F27">
        <v>12</v>
      </c>
      <c r="G27">
        <v>1</v>
      </c>
      <c r="H27">
        <v>1</v>
      </c>
      <c r="I27">
        <v>4</v>
      </c>
      <c r="J27">
        <v>2</v>
      </c>
      <c r="K27">
        <v>3</v>
      </c>
      <c r="L27">
        <v>988</v>
      </c>
      <c r="M27" s="23">
        <f t="shared" si="0"/>
        <v>171690</v>
      </c>
    </row>
    <row r="28" spans="1:13" x14ac:dyDescent="0.25">
      <c r="A28" s="2">
        <v>44986</v>
      </c>
      <c r="B28">
        <v>517</v>
      </c>
      <c r="C28">
        <v>878</v>
      </c>
      <c r="D28">
        <v>209</v>
      </c>
      <c r="E28">
        <v>-37</v>
      </c>
      <c r="F28">
        <v>-147</v>
      </c>
      <c r="G28">
        <v>1</v>
      </c>
      <c r="H28">
        <v>1</v>
      </c>
      <c r="I28">
        <v>4</v>
      </c>
      <c r="J28">
        <v>2</v>
      </c>
      <c r="K28">
        <v>3</v>
      </c>
      <c r="L28">
        <v>1588</v>
      </c>
      <c r="M28" s="23">
        <f t="shared" si="0"/>
        <v>173278</v>
      </c>
    </row>
    <row r="29" spans="1:13" x14ac:dyDescent="0.25">
      <c r="A29" s="2">
        <v>44987</v>
      </c>
      <c r="B29">
        <v>37</v>
      </c>
      <c r="C29">
        <v>-458</v>
      </c>
      <c r="D29">
        <v>116</v>
      </c>
      <c r="E29">
        <v>130</v>
      </c>
      <c r="F29">
        <v>97</v>
      </c>
      <c r="G29">
        <v>1</v>
      </c>
      <c r="H29">
        <v>1</v>
      </c>
      <c r="I29">
        <v>4</v>
      </c>
      <c r="J29">
        <v>2</v>
      </c>
      <c r="K29">
        <v>3</v>
      </c>
      <c r="L29">
        <v>466</v>
      </c>
      <c r="M29" s="23">
        <f t="shared" si="0"/>
        <v>173744</v>
      </c>
    </row>
    <row r="30" spans="1:13" x14ac:dyDescent="0.25">
      <c r="A30" s="2">
        <v>44988</v>
      </c>
      <c r="B30">
        <v>110</v>
      </c>
      <c r="C30">
        <v>-399</v>
      </c>
      <c r="D30">
        <v>-142</v>
      </c>
      <c r="E30">
        <v>131</v>
      </c>
      <c r="F30">
        <v>97</v>
      </c>
      <c r="G30">
        <v>1</v>
      </c>
      <c r="H30">
        <v>1</v>
      </c>
      <c r="I30">
        <v>4</v>
      </c>
      <c r="J30">
        <v>2</v>
      </c>
      <c r="K30">
        <v>3</v>
      </c>
      <c r="L30">
        <v>-432</v>
      </c>
      <c r="M30" s="23">
        <f t="shared" si="0"/>
        <v>173312</v>
      </c>
    </row>
    <row r="31" spans="1:13" x14ac:dyDescent="0.25">
      <c r="A31" s="2">
        <v>44991</v>
      </c>
      <c r="B31">
        <v>-170</v>
      </c>
      <c r="C31">
        <v>47</v>
      </c>
      <c r="D31">
        <v>42</v>
      </c>
      <c r="E31">
        <v>-18</v>
      </c>
      <c r="F31">
        <v>194</v>
      </c>
      <c r="G31">
        <v>1</v>
      </c>
      <c r="H31">
        <v>1</v>
      </c>
      <c r="I31">
        <v>4</v>
      </c>
      <c r="J31">
        <v>2</v>
      </c>
      <c r="K31">
        <v>3</v>
      </c>
      <c r="L31">
        <v>463</v>
      </c>
      <c r="M31" s="23">
        <f t="shared" si="0"/>
        <v>173775</v>
      </c>
    </row>
    <row r="32" spans="1:13" x14ac:dyDescent="0.25">
      <c r="A32" s="2">
        <v>44992</v>
      </c>
      <c r="B32">
        <v>367</v>
      </c>
      <c r="C32">
        <v>-147</v>
      </c>
      <c r="D32">
        <v>-100</v>
      </c>
      <c r="E32">
        <v>205</v>
      </c>
      <c r="F32">
        <v>-54</v>
      </c>
      <c r="G32">
        <v>1</v>
      </c>
      <c r="H32">
        <v>1</v>
      </c>
      <c r="I32">
        <v>4</v>
      </c>
      <c r="J32">
        <v>2</v>
      </c>
      <c r="K32">
        <v>3</v>
      </c>
      <c r="L32">
        <v>-60</v>
      </c>
      <c r="M32" s="23">
        <f t="shared" si="0"/>
        <v>173715</v>
      </c>
    </row>
    <row r="33" spans="1:13" x14ac:dyDescent="0.25">
      <c r="A33" s="2">
        <v>44994</v>
      </c>
      <c r="B33">
        <v>-93</v>
      </c>
      <c r="C33">
        <v>27</v>
      </c>
      <c r="D33">
        <v>152</v>
      </c>
      <c r="E33">
        <v>124</v>
      </c>
      <c r="F33">
        <v>60</v>
      </c>
      <c r="G33">
        <v>1</v>
      </c>
      <c r="H33">
        <v>1</v>
      </c>
      <c r="I33">
        <v>4</v>
      </c>
      <c r="J33">
        <v>2</v>
      </c>
      <c r="K33">
        <v>3</v>
      </c>
      <c r="L33">
        <v>842</v>
      </c>
      <c r="M33" s="23">
        <f t="shared" si="0"/>
        <v>174557</v>
      </c>
    </row>
    <row r="34" spans="1:13" x14ac:dyDescent="0.25">
      <c r="A34" s="2">
        <v>44995</v>
      </c>
      <c r="B34">
        <v>-160</v>
      </c>
      <c r="C34">
        <v>-487</v>
      </c>
      <c r="D34">
        <v>37</v>
      </c>
      <c r="E34">
        <v>-36</v>
      </c>
      <c r="F34">
        <v>203</v>
      </c>
      <c r="G34">
        <v>1</v>
      </c>
      <c r="H34">
        <v>1</v>
      </c>
      <c r="I34">
        <v>4</v>
      </c>
      <c r="J34">
        <v>2</v>
      </c>
      <c r="K34">
        <v>3</v>
      </c>
      <c r="L34">
        <v>-90</v>
      </c>
      <c r="M34" s="23">
        <f t="shared" si="0"/>
        <v>174467</v>
      </c>
    </row>
    <row r="35" spans="1:13" x14ac:dyDescent="0.25">
      <c r="A35" s="2">
        <v>44998</v>
      </c>
      <c r="B35">
        <v>337</v>
      </c>
      <c r="C35">
        <v>377</v>
      </c>
      <c r="D35">
        <v>162</v>
      </c>
      <c r="E35">
        <v>120</v>
      </c>
      <c r="F35">
        <v>223</v>
      </c>
      <c r="G35">
        <v>1</v>
      </c>
      <c r="H35">
        <v>1</v>
      </c>
      <c r="I35">
        <v>4</v>
      </c>
      <c r="J35">
        <v>2</v>
      </c>
      <c r="K35">
        <v>3</v>
      </c>
      <c r="L35">
        <v>2143</v>
      </c>
      <c r="M35" s="23">
        <f t="shared" si="0"/>
        <v>176610</v>
      </c>
    </row>
    <row r="36" spans="1:13" x14ac:dyDescent="0.25">
      <c r="A36" s="2">
        <v>44999</v>
      </c>
      <c r="B36">
        <v>-327</v>
      </c>
      <c r="C36">
        <v>-425</v>
      </c>
      <c r="D36">
        <v>-151</v>
      </c>
      <c r="E36">
        <v>123</v>
      </c>
      <c r="F36">
        <v>44</v>
      </c>
      <c r="G36">
        <v>1</v>
      </c>
      <c r="H36">
        <v>1</v>
      </c>
      <c r="I36">
        <v>4</v>
      </c>
      <c r="J36">
        <v>2</v>
      </c>
      <c r="K36">
        <v>3</v>
      </c>
      <c r="L36">
        <v>-1106</v>
      </c>
      <c r="M36" s="23">
        <f t="shared" si="0"/>
        <v>175504</v>
      </c>
    </row>
    <row r="37" spans="1:13" x14ac:dyDescent="0.25">
      <c r="A37" s="2">
        <v>45000</v>
      </c>
      <c r="B37">
        <v>593</v>
      </c>
      <c r="C37">
        <v>380</v>
      </c>
      <c r="D37">
        <v>107</v>
      </c>
      <c r="E37">
        <v>127</v>
      </c>
      <c r="F37">
        <v>224</v>
      </c>
      <c r="G37">
        <v>1</v>
      </c>
      <c r="H37">
        <v>1</v>
      </c>
      <c r="I37">
        <v>4</v>
      </c>
      <c r="J37">
        <v>2</v>
      </c>
      <c r="K37">
        <v>3</v>
      </c>
      <c r="L37">
        <v>2199</v>
      </c>
      <c r="M37" s="23">
        <f t="shared" si="0"/>
        <v>177703</v>
      </c>
    </row>
    <row r="38" spans="1:13" x14ac:dyDescent="0.25">
      <c r="A38" s="2">
        <v>45001</v>
      </c>
      <c r="B38">
        <v>437</v>
      </c>
      <c r="C38">
        <v>-645</v>
      </c>
      <c r="D38">
        <v>35</v>
      </c>
      <c r="E38">
        <v>-32</v>
      </c>
      <c r="F38">
        <v>-33</v>
      </c>
      <c r="G38">
        <v>1</v>
      </c>
      <c r="H38">
        <v>1</v>
      </c>
      <c r="I38">
        <v>4</v>
      </c>
      <c r="J38">
        <v>2</v>
      </c>
      <c r="K38">
        <v>3</v>
      </c>
      <c r="L38">
        <v>-359</v>
      </c>
      <c r="M38" s="23">
        <f t="shared" si="0"/>
        <v>177344</v>
      </c>
    </row>
    <row r="39" spans="1:13" x14ac:dyDescent="0.25">
      <c r="A39" s="2">
        <v>45002</v>
      </c>
      <c r="B39">
        <v>548</v>
      </c>
      <c r="C39">
        <v>653</v>
      </c>
      <c r="D39">
        <v>109</v>
      </c>
      <c r="E39">
        <v>127</v>
      </c>
      <c r="F39">
        <v>35</v>
      </c>
      <c r="G39">
        <v>1</v>
      </c>
      <c r="H39">
        <v>1</v>
      </c>
      <c r="I39">
        <v>4</v>
      </c>
      <c r="J39">
        <v>2</v>
      </c>
      <c r="K39">
        <v>3</v>
      </c>
      <c r="L39">
        <v>1868</v>
      </c>
      <c r="M39" s="23">
        <f t="shared" si="0"/>
        <v>179212</v>
      </c>
    </row>
    <row r="40" spans="1:13" x14ac:dyDescent="0.25">
      <c r="A40" s="2">
        <v>45005</v>
      </c>
      <c r="B40">
        <v>449</v>
      </c>
      <c r="C40">
        <v>377</v>
      </c>
      <c r="D40">
        <v>226</v>
      </c>
      <c r="E40">
        <v>146</v>
      </c>
      <c r="F40">
        <v>7</v>
      </c>
      <c r="G40">
        <v>1</v>
      </c>
      <c r="H40">
        <v>1</v>
      </c>
      <c r="I40">
        <v>4</v>
      </c>
      <c r="J40">
        <v>2</v>
      </c>
      <c r="K40">
        <v>3</v>
      </c>
      <c r="L40">
        <v>1915</v>
      </c>
      <c r="M40" s="23">
        <f t="shared" si="0"/>
        <v>181127</v>
      </c>
    </row>
    <row r="41" spans="1:13" x14ac:dyDescent="0.25">
      <c r="A41" s="2">
        <v>45006</v>
      </c>
      <c r="B41">
        <v>343</v>
      </c>
      <c r="C41">
        <v>-299</v>
      </c>
      <c r="D41">
        <v>138</v>
      </c>
      <c r="E41">
        <v>-99</v>
      </c>
      <c r="F41">
        <v>108</v>
      </c>
      <c r="G41">
        <v>1</v>
      </c>
      <c r="H41">
        <v>1</v>
      </c>
      <c r="I41">
        <v>4</v>
      </c>
      <c r="J41">
        <v>2</v>
      </c>
      <c r="K41">
        <v>3</v>
      </c>
      <c r="L41">
        <v>594</v>
      </c>
      <c r="M41" s="23">
        <f t="shared" si="0"/>
        <v>181721</v>
      </c>
    </row>
    <row r="42" spans="1:13" x14ac:dyDescent="0.25">
      <c r="A42" s="2">
        <v>45007</v>
      </c>
      <c r="B42">
        <v>-380</v>
      </c>
      <c r="C42">
        <v>382</v>
      </c>
      <c r="D42">
        <v>189</v>
      </c>
      <c r="E42">
        <v>-31</v>
      </c>
      <c r="F42">
        <v>-49</v>
      </c>
      <c r="G42">
        <v>1</v>
      </c>
      <c r="H42">
        <v>1</v>
      </c>
      <c r="I42">
        <v>4</v>
      </c>
      <c r="J42">
        <v>2</v>
      </c>
      <c r="K42">
        <v>3</v>
      </c>
      <c r="L42">
        <v>421</v>
      </c>
      <c r="M42" s="23">
        <f t="shared" si="0"/>
        <v>182142</v>
      </c>
    </row>
    <row r="43" spans="1:13" x14ac:dyDescent="0.25">
      <c r="A43" s="2">
        <v>45008</v>
      </c>
      <c r="B43">
        <v>335</v>
      </c>
      <c r="C43">
        <v>384</v>
      </c>
      <c r="D43">
        <v>30</v>
      </c>
      <c r="E43">
        <v>119</v>
      </c>
      <c r="F43">
        <v>100</v>
      </c>
      <c r="G43">
        <v>1</v>
      </c>
      <c r="H43">
        <v>1</v>
      </c>
      <c r="I43">
        <v>4</v>
      </c>
      <c r="J43">
        <v>2</v>
      </c>
      <c r="K43">
        <v>3</v>
      </c>
      <c r="L43">
        <v>1249</v>
      </c>
      <c r="M43" s="23">
        <f t="shared" si="0"/>
        <v>183391</v>
      </c>
    </row>
    <row r="44" spans="1:13" x14ac:dyDescent="0.25">
      <c r="A44" s="2">
        <v>45009</v>
      </c>
      <c r="B44">
        <v>348</v>
      </c>
      <c r="C44">
        <v>-451</v>
      </c>
      <c r="D44">
        <v>-44</v>
      </c>
      <c r="E44">
        <v>-173</v>
      </c>
      <c r="F44">
        <v>34</v>
      </c>
      <c r="G44">
        <v>1</v>
      </c>
      <c r="H44">
        <v>1</v>
      </c>
      <c r="I44">
        <v>4</v>
      </c>
      <c r="J44">
        <v>2</v>
      </c>
      <c r="K44">
        <v>3</v>
      </c>
      <c r="L44">
        <v>-651</v>
      </c>
      <c r="M44" s="23">
        <f t="shared" si="0"/>
        <v>182740</v>
      </c>
    </row>
    <row r="45" spans="1:13" x14ac:dyDescent="0.25">
      <c r="A45" s="2">
        <v>45012</v>
      </c>
      <c r="B45">
        <v>-244</v>
      </c>
      <c r="C45">
        <v>-206</v>
      </c>
      <c r="D45">
        <v>139</v>
      </c>
      <c r="E45">
        <v>296</v>
      </c>
      <c r="F45">
        <v>1</v>
      </c>
      <c r="G45">
        <v>1</v>
      </c>
      <c r="H45">
        <v>1</v>
      </c>
      <c r="I45">
        <v>4</v>
      </c>
      <c r="J45">
        <v>2</v>
      </c>
      <c r="K45">
        <v>3</v>
      </c>
      <c r="L45">
        <v>573</v>
      </c>
      <c r="M45" s="23">
        <f t="shared" si="0"/>
        <v>183313</v>
      </c>
    </row>
    <row r="46" spans="1:13" x14ac:dyDescent="0.25">
      <c r="A46" s="2">
        <v>45013</v>
      </c>
      <c r="B46">
        <v>341</v>
      </c>
      <c r="C46">
        <v>380</v>
      </c>
      <c r="D46">
        <v>-157</v>
      </c>
      <c r="E46">
        <v>46</v>
      </c>
      <c r="F46">
        <v>109</v>
      </c>
      <c r="G46">
        <v>1</v>
      </c>
      <c r="H46">
        <v>1</v>
      </c>
      <c r="I46">
        <v>4</v>
      </c>
      <c r="J46">
        <v>2</v>
      </c>
      <c r="K46">
        <v>3</v>
      </c>
      <c r="L46">
        <v>384</v>
      </c>
      <c r="M46" s="23">
        <f t="shared" si="0"/>
        <v>183697</v>
      </c>
    </row>
    <row r="47" spans="1:13" x14ac:dyDescent="0.25">
      <c r="A47" s="2">
        <v>45014</v>
      </c>
      <c r="B47">
        <v>211</v>
      </c>
      <c r="C47">
        <v>392</v>
      </c>
      <c r="D47">
        <v>31</v>
      </c>
      <c r="E47">
        <v>321</v>
      </c>
      <c r="F47">
        <v>26</v>
      </c>
      <c r="G47">
        <v>1</v>
      </c>
      <c r="H47">
        <v>1</v>
      </c>
      <c r="I47">
        <v>4</v>
      </c>
      <c r="J47">
        <v>2</v>
      </c>
      <c r="K47">
        <v>3</v>
      </c>
      <c r="L47">
        <v>1319</v>
      </c>
      <c r="M47" s="23">
        <f t="shared" si="0"/>
        <v>185016</v>
      </c>
    </row>
    <row r="48" spans="1:13" x14ac:dyDescent="0.25">
      <c r="A48" s="2">
        <v>45015</v>
      </c>
      <c r="B48">
        <v>151</v>
      </c>
      <c r="C48">
        <v>588</v>
      </c>
      <c r="D48">
        <v>2</v>
      </c>
      <c r="E48">
        <v>-171</v>
      </c>
      <c r="F48">
        <v>-58</v>
      </c>
      <c r="G48">
        <v>1</v>
      </c>
      <c r="H48">
        <v>1</v>
      </c>
      <c r="I48">
        <v>4</v>
      </c>
      <c r="J48">
        <v>2</v>
      </c>
      <c r="K48">
        <v>3</v>
      </c>
      <c r="L48">
        <v>103</v>
      </c>
      <c r="M48" s="23">
        <f t="shared" si="0"/>
        <v>185119</v>
      </c>
    </row>
    <row r="49" spans="1:13" x14ac:dyDescent="0.25">
      <c r="A49" s="2">
        <v>45016</v>
      </c>
      <c r="B49">
        <v>433</v>
      </c>
      <c r="C49">
        <v>53</v>
      </c>
      <c r="D49">
        <v>131</v>
      </c>
      <c r="E49">
        <v>72</v>
      </c>
      <c r="F49">
        <v>-9</v>
      </c>
      <c r="G49">
        <v>1</v>
      </c>
      <c r="H49">
        <v>1</v>
      </c>
      <c r="I49">
        <v>4</v>
      </c>
      <c r="J49">
        <v>2</v>
      </c>
      <c r="K49">
        <v>3</v>
      </c>
      <c r="L49">
        <v>999</v>
      </c>
      <c r="M49" s="23">
        <f t="shared" si="0"/>
        <v>186118</v>
      </c>
    </row>
    <row r="50" spans="1:13" x14ac:dyDescent="0.25">
      <c r="A50" s="2">
        <v>45019</v>
      </c>
      <c r="B50">
        <v>637</v>
      </c>
      <c r="C50">
        <v>362</v>
      </c>
      <c r="D50">
        <v>35</v>
      </c>
      <c r="E50">
        <v>267</v>
      </c>
      <c r="F50">
        <v>64</v>
      </c>
      <c r="G50">
        <v>1</v>
      </c>
      <c r="H50">
        <v>1</v>
      </c>
      <c r="I50">
        <v>4</v>
      </c>
      <c r="J50">
        <v>2</v>
      </c>
      <c r="K50">
        <v>3</v>
      </c>
      <c r="L50">
        <v>1737</v>
      </c>
      <c r="M50" s="23">
        <f t="shared" si="0"/>
        <v>187855</v>
      </c>
    </row>
    <row r="51" spans="1:13" x14ac:dyDescent="0.25">
      <c r="A51" s="2">
        <v>45020</v>
      </c>
      <c r="B51">
        <v>189</v>
      </c>
      <c r="C51">
        <v>784</v>
      </c>
      <c r="D51">
        <v>183</v>
      </c>
      <c r="E51">
        <v>140</v>
      </c>
      <c r="F51">
        <v>78</v>
      </c>
      <c r="G51">
        <v>1</v>
      </c>
      <c r="H51">
        <v>1</v>
      </c>
      <c r="I51">
        <v>4</v>
      </c>
      <c r="J51">
        <v>2</v>
      </c>
      <c r="K51">
        <v>3</v>
      </c>
      <c r="L51">
        <v>2091</v>
      </c>
      <c r="M51" s="23">
        <f t="shared" si="0"/>
        <v>189946</v>
      </c>
    </row>
    <row r="52" spans="1:13" x14ac:dyDescent="0.25">
      <c r="A52" s="2">
        <v>45021</v>
      </c>
      <c r="B52">
        <v>611</v>
      </c>
      <c r="C52">
        <v>314</v>
      </c>
      <c r="D52">
        <v>113</v>
      </c>
      <c r="E52">
        <v>-173</v>
      </c>
      <c r="F52">
        <v>-2</v>
      </c>
      <c r="G52">
        <v>1</v>
      </c>
      <c r="H52">
        <v>1</v>
      </c>
      <c r="I52">
        <v>4</v>
      </c>
      <c r="J52">
        <v>2</v>
      </c>
      <c r="K52">
        <v>3</v>
      </c>
      <c r="L52">
        <v>897</v>
      </c>
      <c r="M52" s="23">
        <f t="shared" si="0"/>
        <v>190843</v>
      </c>
    </row>
    <row r="53" spans="1:13" x14ac:dyDescent="0.25">
      <c r="A53" s="2">
        <v>45022</v>
      </c>
      <c r="B53">
        <v>650</v>
      </c>
      <c r="C53">
        <v>777</v>
      </c>
      <c r="D53">
        <v>141</v>
      </c>
      <c r="E53">
        <v>-106</v>
      </c>
      <c r="F53">
        <v>20</v>
      </c>
      <c r="G53">
        <v>1</v>
      </c>
      <c r="H53">
        <v>1</v>
      </c>
      <c r="I53">
        <v>4</v>
      </c>
      <c r="J53">
        <v>2</v>
      </c>
      <c r="K53">
        <v>3</v>
      </c>
      <c r="L53">
        <v>1711</v>
      </c>
      <c r="M53" s="23">
        <f t="shared" si="0"/>
        <v>192554</v>
      </c>
    </row>
    <row r="54" spans="1:13" x14ac:dyDescent="0.25">
      <c r="A54" s="2">
        <v>45023</v>
      </c>
      <c r="B54">
        <v>342</v>
      </c>
      <c r="C54">
        <v>409</v>
      </c>
      <c r="D54">
        <v>-177</v>
      </c>
      <c r="E54">
        <v>-194</v>
      </c>
      <c r="F54">
        <v>-39</v>
      </c>
      <c r="G54">
        <v>1</v>
      </c>
      <c r="H54">
        <v>1</v>
      </c>
      <c r="I54">
        <v>4</v>
      </c>
      <c r="J54">
        <v>2</v>
      </c>
      <c r="K54">
        <v>3</v>
      </c>
      <c r="L54">
        <v>-590</v>
      </c>
      <c r="M54" s="23">
        <f t="shared" si="0"/>
        <v>191964</v>
      </c>
    </row>
    <row r="55" spans="1:13" x14ac:dyDescent="0.25">
      <c r="A55" s="2">
        <v>45026</v>
      </c>
      <c r="B55">
        <v>-223</v>
      </c>
      <c r="C55">
        <v>249</v>
      </c>
      <c r="D55">
        <v>138</v>
      </c>
      <c r="E55">
        <v>299</v>
      </c>
      <c r="F55">
        <v>-44</v>
      </c>
      <c r="G55">
        <v>1</v>
      </c>
      <c r="H55">
        <v>1</v>
      </c>
      <c r="I55">
        <v>4</v>
      </c>
      <c r="J55">
        <v>2</v>
      </c>
      <c r="K55">
        <v>3</v>
      </c>
      <c r="L55">
        <v>916</v>
      </c>
      <c r="M55" s="23">
        <f t="shared" si="0"/>
        <v>192880</v>
      </c>
    </row>
    <row r="56" spans="1:13" x14ac:dyDescent="0.25">
      <c r="A56" s="2">
        <v>45027</v>
      </c>
      <c r="B56">
        <v>656</v>
      </c>
      <c r="C56">
        <v>453</v>
      </c>
      <c r="D56">
        <v>54</v>
      </c>
      <c r="E56">
        <v>159</v>
      </c>
      <c r="F56">
        <v>70</v>
      </c>
      <c r="G56">
        <v>1</v>
      </c>
      <c r="H56">
        <v>1</v>
      </c>
      <c r="I56">
        <v>4</v>
      </c>
      <c r="J56">
        <v>2</v>
      </c>
      <c r="K56">
        <v>3</v>
      </c>
      <c r="L56">
        <v>1725</v>
      </c>
      <c r="M56" s="23">
        <f t="shared" si="0"/>
        <v>194605</v>
      </c>
    </row>
    <row r="57" spans="1:13" x14ac:dyDescent="0.25">
      <c r="A57" s="2">
        <v>45028</v>
      </c>
      <c r="B57">
        <v>383</v>
      </c>
      <c r="C57">
        <v>-225</v>
      </c>
      <c r="D57">
        <v>129</v>
      </c>
      <c r="E57">
        <v>-115</v>
      </c>
      <c r="F57">
        <v>36</v>
      </c>
      <c r="G57">
        <v>1</v>
      </c>
      <c r="H57">
        <v>1</v>
      </c>
      <c r="I57">
        <v>4</v>
      </c>
      <c r="J57">
        <v>2</v>
      </c>
      <c r="K57">
        <v>3</v>
      </c>
      <c r="L57">
        <v>424</v>
      </c>
      <c r="M57" s="23">
        <f t="shared" si="0"/>
        <v>195029</v>
      </c>
    </row>
    <row r="58" spans="1:13" x14ac:dyDescent="0.25">
      <c r="A58" s="2">
        <v>45029</v>
      </c>
      <c r="B58">
        <v>388</v>
      </c>
      <c r="C58">
        <v>51</v>
      </c>
      <c r="D58">
        <v>-38</v>
      </c>
      <c r="E58">
        <v>-108</v>
      </c>
      <c r="F58">
        <v>32</v>
      </c>
      <c r="G58">
        <v>1</v>
      </c>
      <c r="H58">
        <v>1</v>
      </c>
      <c r="I58">
        <v>4</v>
      </c>
      <c r="J58">
        <v>2</v>
      </c>
      <c r="K58">
        <v>3</v>
      </c>
      <c r="L58">
        <v>39</v>
      </c>
      <c r="M58" s="23">
        <f t="shared" si="0"/>
        <v>195068</v>
      </c>
    </row>
    <row r="59" spans="1:13" x14ac:dyDescent="0.25">
      <c r="A59" s="2">
        <v>45030</v>
      </c>
      <c r="B59">
        <v>-156</v>
      </c>
      <c r="C59">
        <v>-370</v>
      </c>
      <c r="D59">
        <v>-88</v>
      </c>
      <c r="E59">
        <v>-313</v>
      </c>
      <c r="F59">
        <v>-85</v>
      </c>
      <c r="G59">
        <v>1</v>
      </c>
      <c r="H59">
        <v>1</v>
      </c>
      <c r="I59">
        <v>4</v>
      </c>
      <c r="J59">
        <v>2</v>
      </c>
      <c r="K59">
        <v>3</v>
      </c>
      <c r="L59">
        <v>-1887</v>
      </c>
      <c r="M59" s="23">
        <f t="shared" si="0"/>
        <v>193181</v>
      </c>
    </row>
    <row r="60" spans="1:13" x14ac:dyDescent="0.25">
      <c r="A60" s="2">
        <v>45033</v>
      </c>
      <c r="B60">
        <v>729</v>
      </c>
      <c r="C60">
        <v>843</v>
      </c>
      <c r="D60">
        <v>172</v>
      </c>
      <c r="E60">
        <v>323</v>
      </c>
      <c r="F60">
        <v>-11</v>
      </c>
      <c r="G60">
        <v>1</v>
      </c>
      <c r="H60">
        <v>1</v>
      </c>
      <c r="I60">
        <v>4</v>
      </c>
      <c r="J60">
        <v>2</v>
      </c>
      <c r="K60">
        <v>3</v>
      </c>
      <c r="L60">
        <v>2745</v>
      </c>
      <c r="M60" s="23">
        <f t="shared" si="0"/>
        <v>195926</v>
      </c>
    </row>
    <row r="61" spans="1:13" x14ac:dyDescent="0.25">
      <c r="A61" s="2">
        <v>45034</v>
      </c>
      <c r="B61">
        <v>-274</v>
      </c>
      <c r="C61">
        <v>-749</v>
      </c>
      <c r="D61">
        <v>226</v>
      </c>
      <c r="E61">
        <v>325</v>
      </c>
      <c r="F61">
        <v>-35</v>
      </c>
      <c r="G61">
        <v>1</v>
      </c>
      <c r="H61">
        <v>1</v>
      </c>
      <c r="I61">
        <v>4</v>
      </c>
      <c r="J61">
        <v>2</v>
      </c>
      <c r="K61">
        <v>3</v>
      </c>
      <c r="L61">
        <v>298</v>
      </c>
      <c r="M61" s="23">
        <f t="shared" si="0"/>
        <v>196224</v>
      </c>
    </row>
    <row r="62" spans="1:13" x14ac:dyDescent="0.25">
      <c r="A62" s="2">
        <v>45035</v>
      </c>
      <c r="B62">
        <v>416</v>
      </c>
      <c r="C62">
        <v>314</v>
      </c>
      <c r="D62">
        <v>137</v>
      </c>
      <c r="E62">
        <v>20</v>
      </c>
      <c r="F62">
        <v>125</v>
      </c>
      <c r="G62">
        <v>1</v>
      </c>
      <c r="H62">
        <v>1</v>
      </c>
      <c r="I62">
        <v>4</v>
      </c>
      <c r="J62">
        <v>2</v>
      </c>
      <c r="K62">
        <v>3</v>
      </c>
      <c r="L62">
        <v>1565</v>
      </c>
      <c r="M62" s="23">
        <f t="shared" si="0"/>
        <v>197789</v>
      </c>
    </row>
    <row r="63" spans="1:13" x14ac:dyDescent="0.25">
      <c r="A63" s="2">
        <v>45036</v>
      </c>
      <c r="B63">
        <v>365</v>
      </c>
      <c r="C63">
        <v>119</v>
      </c>
      <c r="D63">
        <v>53</v>
      </c>
      <c r="E63">
        <v>-176</v>
      </c>
      <c r="F63">
        <v>53</v>
      </c>
      <c r="G63">
        <v>1</v>
      </c>
      <c r="H63">
        <v>1</v>
      </c>
      <c r="I63">
        <v>4</v>
      </c>
      <c r="J63">
        <v>2</v>
      </c>
      <c r="K63">
        <v>3</v>
      </c>
      <c r="L63">
        <v>375</v>
      </c>
      <c r="M63" s="23">
        <f t="shared" si="0"/>
        <v>198164</v>
      </c>
    </row>
    <row r="64" spans="1:13" x14ac:dyDescent="0.25">
      <c r="A64" s="2">
        <v>45037</v>
      </c>
      <c r="B64">
        <v>77</v>
      </c>
      <c r="C64">
        <v>214</v>
      </c>
      <c r="D64">
        <v>-3</v>
      </c>
      <c r="E64">
        <v>-120</v>
      </c>
      <c r="F64">
        <v>6</v>
      </c>
      <c r="G64">
        <v>1</v>
      </c>
      <c r="H64">
        <v>1</v>
      </c>
      <c r="I64">
        <v>4</v>
      </c>
      <c r="J64">
        <v>2</v>
      </c>
      <c r="K64">
        <v>3</v>
      </c>
      <c r="L64">
        <v>-71</v>
      </c>
      <c r="M64" s="23">
        <f t="shared" si="0"/>
        <v>198093</v>
      </c>
    </row>
    <row r="65" spans="1:13" x14ac:dyDescent="0.25">
      <c r="A65" s="2">
        <v>45040</v>
      </c>
      <c r="B65">
        <v>537</v>
      </c>
      <c r="C65">
        <v>147</v>
      </c>
      <c r="D65">
        <v>20</v>
      </c>
      <c r="E65">
        <v>33</v>
      </c>
      <c r="F65">
        <v>-31</v>
      </c>
      <c r="G65">
        <v>1</v>
      </c>
      <c r="H65">
        <v>1</v>
      </c>
      <c r="I65">
        <v>4</v>
      </c>
      <c r="J65">
        <v>2</v>
      </c>
      <c r="K65">
        <v>3</v>
      </c>
      <c r="L65">
        <v>609</v>
      </c>
      <c r="M65" s="23">
        <f t="shared" si="0"/>
        <v>198702</v>
      </c>
    </row>
    <row r="66" spans="1:13" x14ac:dyDescent="0.25">
      <c r="A66" s="2">
        <v>45041</v>
      </c>
      <c r="B66">
        <v>-228</v>
      </c>
      <c r="C66">
        <v>-2</v>
      </c>
      <c r="D66">
        <v>314</v>
      </c>
      <c r="E66">
        <v>49</v>
      </c>
      <c r="F66">
        <v>6</v>
      </c>
      <c r="G66">
        <v>1</v>
      </c>
      <c r="H66">
        <v>1</v>
      </c>
      <c r="I66">
        <v>4</v>
      </c>
      <c r="J66">
        <v>2</v>
      </c>
      <c r="K66">
        <v>3</v>
      </c>
      <c r="L66">
        <v>1014</v>
      </c>
      <c r="M66" s="23">
        <f t="shared" si="0"/>
        <v>199716</v>
      </c>
    </row>
    <row r="67" spans="1:13" x14ac:dyDescent="0.25">
      <c r="A67" s="2">
        <v>45042</v>
      </c>
      <c r="B67">
        <v>544</v>
      </c>
      <c r="C67">
        <v>789</v>
      </c>
      <c r="D67">
        <v>115</v>
      </c>
      <c r="E67">
        <v>105</v>
      </c>
      <c r="F67">
        <v>-27</v>
      </c>
      <c r="G67">
        <v>1</v>
      </c>
      <c r="H67">
        <v>1</v>
      </c>
      <c r="I67">
        <v>4</v>
      </c>
      <c r="J67">
        <v>2</v>
      </c>
      <c r="K67">
        <v>3</v>
      </c>
      <c r="L67">
        <v>1794</v>
      </c>
      <c r="M67" s="23">
        <f t="shared" si="0"/>
        <v>201510</v>
      </c>
    </row>
    <row r="68" spans="1:13" x14ac:dyDescent="0.25">
      <c r="A68" s="2">
        <v>45043</v>
      </c>
      <c r="B68">
        <v>334</v>
      </c>
      <c r="C68">
        <v>393</v>
      </c>
      <c r="D68">
        <v>152</v>
      </c>
      <c r="E68">
        <v>152</v>
      </c>
      <c r="F68">
        <v>-26</v>
      </c>
      <c r="G68">
        <v>1</v>
      </c>
      <c r="H68">
        <v>1</v>
      </c>
      <c r="I68">
        <v>4</v>
      </c>
      <c r="J68">
        <v>2</v>
      </c>
      <c r="K68">
        <v>3</v>
      </c>
      <c r="L68">
        <v>1433</v>
      </c>
      <c r="M68" s="23">
        <f t="shared" ref="M68:M131" si="1">M67+L68</f>
        <v>202943</v>
      </c>
    </row>
    <row r="69" spans="1:13" x14ac:dyDescent="0.25">
      <c r="A69" s="2">
        <v>45044</v>
      </c>
      <c r="B69">
        <v>673</v>
      </c>
      <c r="C69">
        <v>808</v>
      </c>
      <c r="D69">
        <v>161</v>
      </c>
      <c r="E69">
        <v>-167</v>
      </c>
      <c r="F69">
        <v>54</v>
      </c>
      <c r="G69">
        <v>1</v>
      </c>
      <c r="H69">
        <v>1</v>
      </c>
      <c r="I69">
        <v>4</v>
      </c>
      <c r="J69">
        <v>2</v>
      </c>
      <c r="K69">
        <v>3</v>
      </c>
      <c r="L69">
        <v>1825</v>
      </c>
      <c r="M69" s="23">
        <f t="shared" si="1"/>
        <v>204768</v>
      </c>
    </row>
    <row r="70" spans="1:13" x14ac:dyDescent="0.25">
      <c r="A70" s="2">
        <v>45048</v>
      </c>
      <c r="B70">
        <v>740</v>
      </c>
      <c r="C70">
        <v>600</v>
      </c>
      <c r="D70">
        <v>327</v>
      </c>
      <c r="E70">
        <v>-81</v>
      </c>
      <c r="F70">
        <v>57</v>
      </c>
      <c r="G70">
        <v>1</v>
      </c>
      <c r="H70">
        <v>1</v>
      </c>
      <c r="I70">
        <v>4</v>
      </c>
      <c r="J70">
        <v>2</v>
      </c>
      <c r="K70">
        <v>3</v>
      </c>
      <c r="L70">
        <v>2529</v>
      </c>
      <c r="M70" s="23">
        <f t="shared" si="1"/>
        <v>207297</v>
      </c>
    </row>
    <row r="71" spans="1:13" x14ac:dyDescent="0.25">
      <c r="A71" s="2">
        <v>45049</v>
      </c>
      <c r="B71">
        <v>603</v>
      </c>
      <c r="C71">
        <v>455</v>
      </c>
      <c r="D71">
        <v>334</v>
      </c>
      <c r="E71">
        <v>163</v>
      </c>
      <c r="F71">
        <v>124</v>
      </c>
      <c r="G71">
        <v>1</v>
      </c>
      <c r="H71">
        <v>1</v>
      </c>
      <c r="I71">
        <v>4</v>
      </c>
      <c r="J71">
        <v>2</v>
      </c>
      <c r="K71">
        <v>3</v>
      </c>
      <c r="L71">
        <v>2964</v>
      </c>
      <c r="M71" s="23">
        <f t="shared" si="1"/>
        <v>210261</v>
      </c>
    </row>
    <row r="72" spans="1:13" x14ac:dyDescent="0.25">
      <c r="A72" s="2">
        <v>45050</v>
      </c>
      <c r="B72">
        <v>759</v>
      </c>
      <c r="C72">
        <v>898</v>
      </c>
      <c r="D72">
        <v>72</v>
      </c>
      <c r="E72">
        <v>-198</v>
      </c>
      <c r="F72">
        <v>65</v>
      </c>
      <c r="G72">
        <v>1</v>
      </c>
      <c r="H72">
        <v>1</v>
      </c>
      <c r="I72">
        <v>4</v>
      </c>
      <c r="J72">
        <v>2</v>
      </c>
      <c r="K72">
        <v>3</v>
      </c>
      <c r="L72">
        <v>1616</v>
      </c>
      <c r="M72" s="23">
        <f t="shared" si="1"/>
        <v>211877</v>
      </c>
    </row>
    <row r="73" spans="1:13" x14ac:dyDescent="0.25">
      <c r="A73" s="2">
        <v>45051</v>
      </c>
      <c r="B73">
        <v>481</v>
      </c>
      <c r="C73">
        <v>219</v>
      </c>
      <c r="D73">
        <v>162</v>
      </c>
      <c r="E73">
        <v>170</v>
      </c>
      <c r="F73">
        <v>31</v>
      </c>
      <c r="G73">
        <v>1</v>
      </c>
      <c r="H73">
        <v>1</v>
      </c>
      <c r="I73">
        <v>4</v>
      </c>
      <c r="J73">
        <v>2</v>
      </c>
      <c r="K73">
        <v>3</v>
      </c>
      <c r="L73">
        <v>1653</v>
      </c>
      <c r="M73" s="23">
        <f t="shared" si="1"/>
        <v>213530</v>
      </c>
    </row>
    <row r="74" spans="1:13" x14ac:dyDescent="0.25">
      <c r="A74" s="2">
        <v>45054</v>
      </c>
      <c r="B74">
        <v>409</v>
      </c>
      <c r="C74">
        <v>-827</v>
      </c>
      <c r="D74">
        <v>144</v>
      </c>
      <c r="E74">
        <v>30</v>
      </c>
      <c r="F74">
        <v>69</v>
      </c>
      <c r="G74">
        <v>1</v>
      </c>
      <c r="H74">
        <v>1</v>
      </c>
      <c r="I74">
        <v>4</v>
      </c>
      <c r="J74">
        <v>2</v>
      </c>
      <c r="K74">
        <v>3</v>
      </c>
      <c r="L74">
        <v>297</v>
      </c>
      <c r="M74" s="23">
        <f t="shared" si="1"/>
        <v>213827</v>
      </c>
    </row>
    <row r="75" spans="1:13" x14ac:dyDescent="0.25">
      <c r="A75" s="2">
        <v>45056</v>
      </c>
      <c r="B75">
        <v>429</v>
      </c>
      <c r="C75">
        <v>494</v>
      </c>
      <c r="D75">
        <v>-304</v>
      </c>
      <c r="E75">
        <v>324</v>
      </c>
      <c r="F75">
        <v>71</v>
      </c>
      <c r="G75">
        <v>1</v>
      </c>
      <c r="H75">
        <v>1</v>
      </c>
      <c r="I75">
        <v>4</v>
      </c>
      <c r="J75">
        <v>2</v>
      </c>
      <c r="K75">
        <v>3</v>
      </c>
      <c r="L75">
        <v>440</v>
      </c>
      <c r="M75" s="23">
        <f t="shared" si="1"/>
        <v>214267</v>
      </c>
    </row>
    <row r="76" spans="1:13" x14ac:dyDescent="0.25">
      <c r="A76" s="2">
        <v>45057</v>
      </c>
      <c r="B76">
        <v>447</v>
      </c>
      <c r="C76">
        <v>522</v>
      </c>
      <c r="D76">
        <v>154</v>
      </c>
      <c r="E76">
        <v>109</v>
      </c>
      <c r="F76">
        <v>74</v>
      </c>
      <c r="G76">
        <v>1</v>
      </c>
      <c r="H76">
        <v>1</v>
      </c>
      <c r="I76">
        <v>4</v>
      </c>
      <c r="J76">
        <v>2</v>
      </c>
      <c r="K76">
        <v>3</v>
      </c>
      <c r="L76">
        <v>1897</v>
      </c>
      <c r="M76" s="23">
        <f t="shared" si="1"/>
        <v>216164</v>
      </c>
    </row>
    <row r="77" spans="1:13" x14ac:dyDescent="0.25">
      <c r="A77" s="2">
        <v>45058</v>
      </c>
      <c r="B77">
        <v>815</v>
      </c>
      <c r="C77">
        <v>294</v>
      </c>
      <c r="D77">
        <v>-17</v>
      </c>
      <c r="E77">
        <v>-63</v>
      </c>
      <c r="F77">
        <v>157</v>
      </c>
      <c r="G77">
        <v>1</v>
      </c>
      <c r="H77">
        <v>1</v>
      </c>
      <c r="I77">
        <v>4</v>
      </c>
      <c r="J77">
        <v>2</v>
      </c>
      <c r="K77">
        <v>3</v>
      </c>
      <c r="L77">
        <v>1258</v>
      </c>
      <c r="M77" s="23">
        <f t="shared" si="1"/>
        <v>217422</v>
      </c>
    </row>
    <row r="78" spans="1:13" x14ac:dyDescent="0.25">
      <c r="A78" s="2">
        <v>45061</v>
      </c>
      <c r="B78">
        <v>978</v>
      </c>
      <c r="C78">
        <v>549</v>
      </c>
      <c r="D78">
        <v>314</v>
      </c>
      <c r="E78">
        <v>57</v>
      </c>
      <c r="F78">
        <v>79</v>
      </c>
      <c r="G78">
        <v>1</v>
      </c>
      <c r="H78">
        <v>1</v>
      </c>
      <c r="I78">
        <v>4</v>
      </c>
      <c r="J78">
        <v>2</v>
      </c>
      <c r="K78">
        <v>3</v>
      </c>
      <c r="L78">
        <v>3006</v>
      </c>
      <c r="M78" s="23">
        <f t="shared" si="1"/>
        <v>220428</v>
      </c>
    </row>
    <row r="79" spans="1:13" x14ac:dyDescent="0.25">
      <c r="A79" s="2">
        <v>45062</v>
      </c>
      <c r="B79">
        <v>410</v>
      </c>
      <c r="C79">
        <v>483</v>
      </c>
      <c r="D79">
        <v>163</v>
      </c>
      <c r="E79">
        <v>-187</v>
      </c>
      <c r="F79">
        <v>98</v>
      </c>
      <c r="G79">
        <v>1</v>
      </c>
      <c r="H79">
        <v>1</v>
      </c>
      <c r="I79">
        <v>4</v>
      </c>
      <c r="J79">
        <v>2</v>
      </c>
      <c r="K79">
        <v>3</v>
      </c>
      <c r="L79">
        <v>1337</v>
      </c>
      <c r="M79" s="23">
        <f t="shared" si="1"/>
        <v>221765</v>
      </c>
    </row>
    <row r="80" spans="1:13" x14ac:dyDescent="0.25">
      <c r="A80" s="2">
        <v>45063</v>
      </c>
      <c r="B80">
        <v>487</v>
      </c>
      <c r="C80">
        <v>552</v>
      </c>
      <c r="D80">
        <v>150</v>
      </c>
      <c r="E80">
        <v>23</v>
      </c>
      <c r="F80">
        <v>75</v>
      </c>
      <c r="G80">
        <v>1</v>
      </c>
      <c r="H80">
        <v>1</v>
      </c>
      <c r="I80">
        <v>4</v>
      </c>
      <c r="J80">
        <v>2</v>
      </c>
      <c r="K80">
        <v>3</v>
      </c>
      <c r="L80">
        <v>1782</v>
      </c>
      <c r="M80" s="23">
        <f t="shared" si="1"/>
        <v>223547</v>
      </c>
    </row>
    <row r="81" spans="1:13" x14ac:dyDescent="0.25">
      <c r="A81" s="2">
        <v>45064</v>
      </c>
      <c r="B81">
        <v>-517</v>
      </c>
      <c r="C81">
        <v>-531</v>
      </c>
      <c r="D81">
        <v>123</v>
      </c>
      <c r="E81">
        <v>-54</v>
      </c>
      <c r="F81">
        <v>-68</v>
      </c>
      <c r="G81">
        <v>1</v>
      </c>
      <c r="H81">
        <v>1</v>
      </c>
      <c r="I81">
        <v>4</v>
      </c>
      <c r="J81">
        <v>2</v>
      </c>
      <c r="K81">
        <v>3</v>
      </c>
      <c r="L81">
        <v>-996</v>
      </c>
      <c r="M81" s="23">
        <f t="shared" si="1"/>
        <v>222551</v>
      </c>
    </row>
    <row r="82" spans="1:13" x14ac:dyDescent="0.25">
      <c r="A82" s="2">
        <v>45065</v>
      </c>
      <c r="B82">
        <v>-374</v>
      </c>
      <c r="C82">
        <v>-90</v>
      </c>
      <c r="D82">
        <v>95</v>
      </c>
      <c r="E82">
        <v>-28</v>
      </c>
      <c r="F82">
        <v>-135</v>
      </c>
      <c r="G82">
        <v>1</v>
      </c>
      <c r="H82">
        <v>1</v>
      </c>
      <c r="I82">
        <v>4</v>
      </c>
      <c r="J82">
        <v>2</v>
      </c>
      <c r="K82">
        <v>3</v>
      </c>
      <c r="L82">
        <v>-673</v>
      </c>
      <c r="M82" s="23">
        <f t="shared" si="1"/>
        <v>221878</v>
      </c>
    </row>
    <row r="83" spans="1:13" x14ac:dyDescent="0.25">
      <c r="A83" s="2">
        <v>45068</v>
      </c>
      <c r="B83">
        <v>-315</v>
      </c>
      <c r="C83">
        <v>-378</v>
      </c>
      <c r="D83">
        <v>310</v>
      </c>
      <c r="E83">
        <v>64</v>
      </c>
      <c r="F83">
        <v>85</v>
      </c>
      <c r="G83">
        <v>1</v>
      </c>
      <c r="H83">
        <v>1</v>
      </c>
      <c r="I83">
        <v>4</v>
      </c>
      <c r="J83">
        <v>2</v>
      </c>
      <c r="K83">
        <v>3</v>
      </c>
      <c r="L83">
        <v>802</v>
      </c>
      <c r="M83" s="23">
        <f t="shared" si="1"/>
        <v>222680</v>
      </c>
    </row>
    <row r="84" spans="1:13" x14ac:dyDescent="0.25">
      <c r="A84" s="2">
        <v>45069</v>
      </c>
      <c r="B84">
        <v>45</v>
      </c>
      <c r="C84">
        <v>-260</v>
      </c>
      <c r="D84">
        <v>320</v>
      </c>
      <c r="E84">
        <v>163</v>
      </c>
      <c r="F84">
        <v>76</v>
      </c>
      <c r="G84">
        <v>1</v>
      </c>
      <c r="H84">
        <v>1</v>
      </c>
      <c r="I84">
        <v>4</v>
      </c>
      <c r="J84">
        <v>2</v>
      </c>
      <c r="K84">
        <v>3</v>
      </c>
      <c r="L84">
        <v>1491</v>
      </c>
      <c r="M84" s="23">
        <f t="shared" si="1"/>
        <v>224171</v>
      </c>
    </row>
    <row r="85" spans="1:13" x14ac:dyDescent="0.25">
      <c r="A85" s="2">
        <v>45070</v>
      </c>
      <c r="B85">
        <v>39</v>
      </c>
      <c r="C85">
        <v>140</v>
      </c>
      <c r="D85">
        <v>346</v>
      </c>
      <c r="E85">
        <v>339</v>
      </c>
      <c r="F85">
        <v>50</v>
      </c>
      <c r="G85">
        <v>1</v>
      </c>
      <c r="H85">
        <v>1</v>
      </c>
      <c r="I85">
        <v>4</v>
      </c>
      <c r="J85">
        <v>2</v>
      </c>
      <c r="K85">
        <v>3</v>
      </c>
      <c r="L85">
        <v>2263</v>
      </c>
      <c r="M85" s="23">
        <f t="shared" si="1"/>
        <v>226434</v>
      </c>
    </row>
    <row r="86" spans="1:13" x14ac:dyDescent="0.25">
      <c r="A86" s="2">
        <v>45071</v>
      </c>
      <c r="B86">
        <v>-97</v>
      </c>
      <c r="C86">
        <v>54</v>
      </c>
      <c r="D86">
        <v>153</v>
      </c>
      <c r="E86">
        <v>-96</v>
      </c>
      <c r="F86">
        <v>32</v>
      </c>
      <c r="G86">
        <v>1</v>
      </c>
      <c r="H86">
        <v>1</v>
      </c>
      <c r="I86">
        <v>4</v>
      </c>
      <c r="J86">
        <v>2</v>
      </c>
      <c r="K86">
        <v>3</v>
      </c>
      <c r="L86">
        <v>345</v>
      </c>
      <c r="M86" s="23">
        <f t="shared" si="1"/>
        <v>226779</v>
      </c>
    </row>
    <row r="87" spans="1:13" x14ac:dyDescent="0.25">
      <c r="A87" s="2">
        <v>45072</v>
      </c>
      <c r="B87">
        <v>-47</v>
      </c>
      <c r="C87">
        <v>90</v>
      </c>
      <c r="D87">
        <v>-215</v>
      </c>
      <c r="E87">
        <v>179</v>
      </c>
      <c r="F87">
        <v>-53</v>
      </c>
      <c r="G87">
        <v>1</v>
      </c>
      <c r="H87">
        <v>1</v>
      </c>
      <c r="I87">
        <v>4</v>
      </c>
      <c r="J87">
        <v>2</v>
      </c>
      <c r="K87">
        <v>3</v>
      </c>
      <c r="L87">
        <v>-746</v>
      </c>
      <c r="M87" s="23">
        <f t="shared" si="1"/>
        <v>226033</v>
      </c>
    </row>
    <row r="88" spans="1:13" x14ac:dyDescent="0.25">
      <c r="A88" s="2">
        <v>45075</v>
      </c>
      <c r="B88">
        <v>399</v>
      </c>
      <c r="C88">
        <v>456</v>
      </c>
      <c r="D88">
        <v>167</v>
      </c>
      <c r="E88">
        <v>190</v>
      </c>
      <c r="F88">
        <v>-8</v>
      </c>
      <c r="G88">
        <v>1</v>
      </c>
      <c r="H88">
        <v>1</v>
      </c>
      <c r="I88">
        <v>4</v>
      </c>
      <c r="J88">
        <v>2</v>
      </c>
      <c r="K88">
        <v>3</v>
      </c>
      <c r="L88">
        <v>1751</v>
      </c>
      <c r="M88" s="23">
        <f t="shared" si="1"/>
        <v>227784</v>
      </c>
    </row>
    <row r="89" spans="1:13" x14ac:dyDescent="0.25">
      <c r="A89" s="2">
        <v>45076</v>
      </c>
      <c r="B89">
        <v>399</v>
      </c>
      <c r="C89">
        <v>-133</v>
      </c>
      <c r="D89">
        <v>58</v>
      </c>
      <c r="E89">
        <v>180</v>
      </c>
      <c r="F89">
        <v>142</v>
      </c>
      <c r="G89">
        <v>1</v>
      </c>
      <c r="H89">
        <v>1</v>
      </c>
      <c r="I89">
        <v>4</v>
      </c>
      <c r="J89">
        <v>2</v>
      </c>
      <c r="K89">
        <v>3</v>
      </c>
      <c r="L89">
        <v>1156</v>
      </c>
      <c r="M89" s="23">
        <f t="shared" si="1"/>
        <v>228940</v>
      </c>
    </row>
    <row r="90" spans="1:13" x14ac:dyDescent="0.25">
      <c r="A90" s="2">
        <v>45077</v>
      </c>
      <c r="B90">
        <v>240</v>
      </c>
      <c r="C90">
        <v>213</v>
      </c>
      <c r="D90">
        <v>-92</v>
      </c>
      <c r="E90">
        <v>-96</v>
      </c>
      <c r="F90">
        <v>91</v>
      </c>
      <c r="G90">
        <v>1</v>
      </c>
      <c r="H90">
        <v>1</v>
      </c>
      <c r="I90">
        <v>4</v>
      </c>
      <c r="J90">
        <v>2</v>
      </c>
      <c r="K90">
        <v>3</v>
      </c>
      <c r="L90">
        <v>38</v>
      </c>
      <c r="M90" s="23">
        <f t="shared" si="1"/>
        <v>228978</v>
      </c>
    </row>
    <row r="91" spans="1:13" x14ac:dyDescent="0.25">
      <c r="A91" s="2">
        <v>45078</v>
      </c>
      <c r="B91">
        <v>237</v>
      </c>
      <c r="C91">
        <v>-489</v>
      </c>
      <c r="D91">
        <v>-79</v>
      </c>
      <c r="E91">
        <v>188</v>
      </c>
      <c r="F91">
        <v>-39</v>
      </c>
      <c r="G91">
        <v>1</v>
      </c>
      <c r="H91">
        <v>1</v>
      </c>
      <c r="I91">
        <v>4</v>
      </c>
      <c r="J91">
        <v>2</v>
      </c>
      <c r="K91">
        <v>3</v>
      </c>
      <c r="L91">
        <v>-437</v>
      </c>
      <c r="M91" s="23">
        <f t="shared" si="1"/>
        <v>228541</v>
      </c>
    </row>
    <row r="92" spans="1:13" x14ac:dyDescent="0.25">
      <c r="A92" s="2">
        <v>45079</v>
      </c>
      <c r="B92">
        <v>379</v>
      </c>
      <c r="C92">
        <v>607</v>
      </c>
      <c r="D92">
        <v>-92</v>
      </c>
      <c r="E92">
        <v>-210</v>
      </c>
      <c r="F92">
        <v>94</v>
      </c>
      <c r="G92">
        <v>1</v>
      </c>
      <c r="H92">
        <v>1</v>
      </c>
      <c r="I92">
        <v>4</v>
      </c>
      <c r="J92">
        <v>2</v>
      </c>
      <c r="K92">
        <v>3</v>
      </c>
      <c r="L92">
        <v>352</v>
      </c>
      <c r="M92" s="23">
        <f t="shared" si="1"/>
        <v>228893</v>
      </c>
    </row>
    <row r="93" spans="1:13" x14ac:dyDescent="0.25">
      <c r="A93" s="2">
        <v>45082</v>
      </c>
      <c r="B93">
        <v>379</v>
      </c>
      <c r="C93">
        <v>420</v>
      </c>
      <c r="D93">
        <v>-75</v>
      </c>
      <c r="E93">
        <v>189</v>
      </c>
      <c r="F93">
        <v>104</v>
      </c>
      <c r="G93">
        <v>1</v>
      </c>
      <c r="H93">
        <v>1</v>
      </c>
      <c r="I93">
        <v>4</v>
      </c>
      <c r="J93">
        <v>2</v>
      </c>
      <c r="K93">
        <v>3</v>
      </c>
      <c r="L93">
        <v>1061</v>
      </c>
      <c r="M93" s="23">
        <f t="shared" si="1"/>
        <v>229954</v>
      </c>
    </row>
    <row r="94" spans="1:13" x14ac:dyDescent="0.25">
      <c r="A94" s="2">
        <v>45083</v>
      </c>
      <c r="B94">
        <v>-719</v>
      </c>
      <c r="C94">
        <v>-531</v>
      </c>
      <c r="D94">
        <v>-77</v>
      </c>
      <c r="E94">
        <v>197</v>
      </c>
      <c r="F94">
        <v>-155</v>
      </c>
      <c r="G94">
        <v>1</v>
      </c>
      <c r="H94">
        <v>1</v>
      </c>
      <c r="I94">
        <v>4</v>
      </c>
      <c r="J94">
        <v>2</v>
      </c>
      <c r="K94">
        <v>3</v>
      </c>
      <c r="L94">
        <v>-1757</v>
      </c>
      <c r="M94" s="23">
        <f t="shared" si="1"/>
        <v>228197</v>
      </c>
    </row>
    <row r="95" spans="1:13" x14ac:dyDescent="0.25">
      <c r="A95" s="2">
        <v>45084</v>
      </c>
      <c r="B95">
        <v>541</v>
      </c>
      <c r="C95">
        <v>702</v>
      </c>
      <c r="D95">
        <v>131</v>
      </c>
      <c r="E95">
        <v>24</v>
      </c>
      <c r="F95">
        <v>91</v>
      </c>
      <c r="G95">
        <v>1</v>
      </c>
      <c r="H95">
        <v>1</v>
      </c>
      <c r="I95">
        <v>4</v>
      </c>
      <c r="J95">
        <v>2</v>
      </c>
      <c r="K95">
        <v>3</v>
      </c>
      <c r="L95">
        <v>1960</v>
      </c>
      <c r="M95" s="23">
        <f t="shared" si="1"/>
        <v>230157</v>
      </c>
    </row>
    <row r="96" spans="1:13" x14ac:dyDescent="0.25">
      <c r="A96" s="2">
        <v>45085</v>
      </c>
      <c r="B96">
        <v>741</v>
      </c>
      <c r="C96">
        <v>812</v>
      </c>
      <c r="D96">
        <v>171</v>
      </c>
      <c r="E96">
        <v>-37</v>
      </c>
      <c r="F96">
        <v>71</v>
      </c>
      <c r="G96">
        <v>1</v>
      </c>
      <c r="H96">
        <v>1</v>
      </c>
      <c r="I96">
        <v>4</v>
      </c>
      <c r="J96">
        <v>2</v>
      </c>
      <c r="K96">
        <v>3</v>
      </c>
      <c r="L96">
        <v>2248</v>
      </c>
      <c r="M96" s="23">
        <f t="shared" si="1"/>
        <v>232405</v>
      </c>
    </row>
    <row r="97" spans="1:13" x14ac:dyDescent="0.25">
      <c r="A97" s="2">
        <v>45086</v>
      </c>
      <c r="B97">
        <v>-64</v>
      </c>
      <c r="C97">
        <v>-188</v>
      </c>
      <c r="D97">
        <v>-80</v>
      </c>
      <c r="E97">
        <v>-126</v>
      </c>
      <c r="F97">
        <v>215</v>
      </c>
      <c r="G97">
        <v>1</v>
      </c>
      <c r="H97">
        <v>1</v>
      </c>
      <c r="I97">
        <v>4</v>
      </c>
      <c r="J97">
        <v>2</v>
      </c>
      <c r="K97">
        <v>3</v>
      </c>
      <c r="L97">
        <v>-307</v>
      </c>
      <c r="M97" s="23">
        <f t="shared" si="1"/>
        <v>232098</v>
      </c>
    </row>
    <row r="98" spans="1:13" x14ac:dyDescent="0.25">
      <c r="A98" s="2">
        <v>45090</v>
      </c>
      <c r="B98">
        <v>362</v>
      </c>
      <c r="C98">
        <v>405</v>
      </c>
      <c r="D98">
        <v>-178</v>
      </c>
      <c r="E98">
        <v>-287</v>
      </c>
      <c r="F98">
        <v>180</v>
      </c>
      <c r="G98">
        <v>1</v>
      </c>
      <c r="H98">
        <v>1</v>
      </c>
      <c r="I98">
        <v>4</v>
      </c>
      <c r="J98">
        <v>2</v>
      </c>
      <c r="K98">
        <v>3</v>
      </c>
      <c r="L98">
        <v>-107</v>
      </c>
      <c r="M98" s="23">
        <f t="shared" si="1"/>
        <v>231991</v>
      </c>
    </row>
    <row r="99" spans="1:13" x14ac:dyDescent="0.25">
      <c r="A99" s="2">
        <v>45091</v>
      </c>
      <c r="B99">
        <v>-233</v>
      </c>
      <c r="C99">
        <v>174</v>
      </c>
      <c r="D99">
        <v>-24</v>
      </c>
      <c r="E99">
        <v>-16</v>
      </c>
      <c r="F99">
        <v>95</v>
      </c>
      <c r="G99">
        <v>1</v>
      </c>
      <c r="H99">
        <v>1</v>
      </c>
      <c r="I99">
        <v>4</v>
      </c>
      <c r="J99">
        <v>2</v>
      </c>
      <c r="K99">
        <v>3</v>
      </c>
      <c r="L99">
        <v>-30</v>
      </c>
      <c r="M99" s="23">
        <f t="shared" si="1"/>
        <v>231961</v>
      </c>
    </row>
    <row r="100" spans="1:13" x14ac:dyDescent="0.25">
      <c r="A100" s="2">
        <v>45092</v>
      </c>
      <c r="B100">
        <v>267</v>
      </c>
      <c r="C100">
        <v>100</v>
      </c>
      <c r="D100">
        <v>134</v>
      </c>
      <c r="E100">
        <v>16</v>
      </c>
      <c r="F100">
        <v>-25</v>
      </c>
      <c r="G100">
        <v>1</v>
      </c>
      <c r="H100">
        <v>1</v>
      </c>
      <c r="I100">
        <v>4</v>
      </c>
      <c r="J100">
        <v>2</v>
      </c>
      <c r="K100">
        <v>3</v>
      </c>
      <c r="L100">
        <v>732</v>
      </c>
      <c r="M100" s="23">
        <f t="shared" si="1"/>
        <v>232693</v>
      </c>
    </row>
    <row r="101" spans="1:13" x14ac:dyDescent="0.25">
      <c r="A101" s="2">
        <v>45093</v>
      </c>
      <c r="B101">
        <v>-455</v>
      </c>
      <c r="C101">
        <v>-739</v>
      </c>
      <c r="D101">
        <v>140</v>
      </c>
      <c r="E101">
        <v>191</v>
      </c>
      <c r="F101">
        <v>-64</v>
      </c>
      <c r="G101">
        <v>1</v>
      </c>
      <c r="H101">
        <v>1</v>
      </c>
      <c r="I101">
        <v>4</v>
      </c>
      <c r="J101">
        <v>2</v>
      </c>
      <c r="K101">
        <v>3</v>
      </c>
      <c r="L101">
        <v>-572</v>
      </c>
      <c r="M101" s="23">
        <f t="shared" si="1"/>
        <v>232121</v>
      </c>
    </row>
    <row r="102" spans="1:13" x14ac:dyDescent="0.25">
      <c r="A102" s="2">
        <v>45096</v>
      </c>
      <c r="B102">
        <v>398</v>
      </c>
      <c r="C102">
        <v>-295</v>
      </c>
      <c r="D102">
        <v>9</v>
      </c>
      <c r="E102">
        <v>276</v>
      </c>
      <c r="F102">
        <v>13</v>
      </c>
      <c r="G102">
        <v>1</v>
      </c>
      <c r="H102">
        <v>1</v>
      </c>
      <c r="I102">
        <v>4</v>
      </c>
      <c r="J102">
        <v>2</v>
      </c>
      <c r="K102">
        <v>3</v>
      </c>
      <c r="L102">
        <v>602</v>
      </c>
      <c r="M102" s="23">
        <f t="shared" si="1"/>
        <v>232723</v>
      </c>
    </row>
    <row r="103" spans="1:13" x14ac:dyDescent="0.25">
      <c r="A103" s="2">
        <v>45097</v>
      </c>
      <c r="B103">
        <v>-713</v>
      </c>
      <c r="C103">
        <v>-699</v>
      </c>
      <c r="D103">
        <v>19</v>
      </c>
      <c r="E103">
        <v>-11</v>
      </c>
      <c r="F103">
        <v>4</v>
      </c>
      <c r="G103">
        <v>1</v>
      </c>
      <c r="H103">
        <v>1</v>
      </c>
      <c r="I103">
        <v>4</v>
      </c>
      <c r="J103">
        <v>2</v>
      </c>
      <c r="K103">
        <v>3</v>
      </c>
      <c r="L103">
        <v>-1474</v>
      </c>
      <c r="M103" s="23">
        <f t="shared" si="1"/>
        <v>231249</v>
      </c>
    </row>
    <row r="104" spans="1:13" x14ac:dyDescent="0.25">
      <c r="A104" s="2">
        <v>45098</v>
      </c>
      <c r="B104">
        <v>389</v>
      </c>
      <c r="C104">
        <v>436</v>
      </c>
      <c r="D104">
        <v>-74</v>
      </c>
      <c r="E104">
        <v>-91</v>
      </c>
      <c r="F104">
        <v>43</v>
      </c>
      <c r="G104">
        <v>1</v>
      </c>
      <c r="H104">
        <v>1</v>
      </c>
      <c r="I104">
        <v>4</v>
      </c>
      <c r="J104">
        <v>2</v>
      </c>
      <c r="K104">
        <v>3</v>
      </c>
      <c r="L104">
        <v>348</v>
      </c>
      <c r="M104" s="23">
        <f t="shared" si="1"/>
        <v>231597</v>
      </c>
    </row>
    <row r="105" spans="1:13" x14ac:dyDescent="0.25">
      <c r="A105" s="2">
        <v>45099</v>
      </c>
      <c r="B105">
        <v>-211</v>
      </c>
      <c r="C105">
        <v>-98</v>
      </c>
      <c r="D105">
        <v>128</v>
      </c>
      <c r="E105">
        <v>-170</v>
      </c>
      <c r="F105">
        <v>96</v>
      </c>
      <c r="G105">
        <v>1</v>
      </c>
      <c r="H105">
        <v>1</v>
      </c>
      <c r="I105">
        <v>4</v>
      </c>
      <c r="J105">
        <v>2</v>
      </c>
      <c r="K105">
        <v>3</v>
      </c>
      <c r="L105">
        <v>23</v>
      </c>
      <c r="M105" s="23">
        <f t="shared" si="1"/>
        <v>231620</v>
      </c>
    </row>
    <row r="106" spans="1:13" x14ac:dyDescent="0.25">
      <c r="A106" s="2">
        <v>45100</v>
      </c>
      <c r="B106">
        <v>808</v>
      </c>
      <c r="C106">
        <v>871</v>
      </c>
      <c r="D106">
        <v>250</v>
      </c>
      <c r="E106">
        <v>335</v>
      </c>
      <c r="F106">
        <v>189</v>
      </c>
      <c r="G106">
        <v>1</v>
      </c>
      <c r="H106">
        <v>1</v>
      </c>
      <c r="I106">
        <v>4</v>
      </c>
      <c r="J106">
        <v>2</v>
      </c>
      <c r="K106">
        <v>3</v>
      </c>
      <c r="L106">
        <v>3788</v>
      </c>
      <c r="M106" s="23">
        <f t="shared" si="1"/>
        <v>235408</v>
      </c>
    </row>
    <row r="107" spans="1:13" x14ac:dyDescent="0.25">
      <c r="A107" s="2">
        <v>45103</v>
      </c>
      <c r="B107">
        <v>-166</v>
      </c>
      <c r="C107">
        <v>-218</v>
      </c>
      <c r="D107">
        <v>120</v>
      </c>
      <c r="E107">
        <v>37</v>
      </c>
      <c r="F107">
        <v>199</v>
      </c>
      <c r="G107">
        <v>1</v>
      </c>
      <c r="H107">
        <v>1</v>
      </c>
      <c r="I107">
        <v>4</v>
      </c>
      <c r="J107">
        <v>2</v>
      </c>
      <c r="K107">
        <v>3</v>
      </c>
      <c r="L107">
        <v>639</v>
      </c>
      <c r="M107" s="23">
        <f t="shared" si="1"/>
        <v>236047</v>
      </c>
    </row>
    <row r="108" spans="1:13" x14ac:dyDescent="0.25">
      <c r="A108" s="2">
        <v>45104</v>
      </c>
      <c r="B108">
        <v>-555</v>
      </c>
      <c r="C108">
        <v>-913</v>
      </c>
      <c r="D108">
        <v>-12</v>
      </c>
      <c r="E108">
        <v>339</v>
      </c>
      <c r="F108">
        <v>-85</v>
      </c>
      <c r="G108">
        <v>1</v>
      </c>
      <c r="H108">
        <v>1</v>
      </c>
      <c r="I108">
        <v>4</v>
      </c>
      <c r="J108">
        <v>2</v>
      </c>
      <c r="K108">
        <v>3</v>
      </c>
      <c r="L108">
        <v>-1221</v>
      </c>
      <c r="M108" s="23">
        <f t="shared" si="1"/>
        <v>234826</v>
      </c>
    </row>
    <row r="109" spans="1:13" x14ac:dyDescent="0.25">
      <c r="A109" s="2">
        <v>45105</v>
      </c>
      <c r="B109">
        <v>852</v>
      </c>
      <c r="C109">
        <v>956</v>
      </c>
      <c r="D109">
        <v>-132</v>
      </c>
      <c r="E109">
        <v>178</v>
      </c>
      <c r="F109">
        <v>46</v>
      </c>
      <c r="G109">
        <v>1</v>
      </c>
      <c r="H109">
        <v>1</v>
      </c>
      <c r="I109">
        <v>4</v>
      </c>
      <c r="J109">
        <v>2</v>
      </c>
      <c r="K109">
        <v>3</v>
      </c>
      <c r="L109">
        <v>1646</v>
      </c>
      <c r="M109" s="23">
        <f t="shared" si="1"/>
        <v>236472</v>
      </c>
    </row>
    <row r="110" spans="1:13" x14ac:dyDescent="0.25">
      <c r="A110" s="2">
        <v>45106</v>
      </c>
      <c r="B110">
        <v>880</v>
      </c>
      <c r="C110">
        <v>975</v>
      </c>
      <c r="D110">
        <v>-14</v>
      </c>
      <c r="E110">
        <v>-81</v>
      </c>
      <c r="F110">
        <v>42</v>
      </c>
      <c r="G110">
        <v>1</v>
      </c>
      <c r="H110">
        <v>1</v>
      </c>
      <c r="I110">
        <v>4</v>
      </c>
      <c r="J110">
        <v>2</v>
      </c>
      <c r="K110">
        <v>3</v>
      </c>
      <c r="L110">
        <v>1635</v>
      </c>
      <c r="M110" s="23">
        <f t="shared" si="1"/>
        <v>238107</v>
      </c>
    </row>
    <row r="111" spans="1:13" x14ac:dyDescent="0.25">
      <c r="A111" s="2">
        <v>45107</v>
      </c>
      <c r="B111">
        <v>906</v>
      </c>
      <c r="C111">
        <v>994</v>
      </c>
      <c r="D111">
        <v>129</v>
      </c>
      <c r="E111">
        <v>-56</v>
      </c>
      <c r="F111">
        <v>113</v>
      </c>
      <c r="G111">
        <v>1</v>
      </c>
      <c r="H111">
        <v>1</v>
      </c>
      <c r="I111">
        <v>4</v>
      </c>
      <c r="J111">
        <v>2</v>
      </c>
      <c r="K111">
        <v>3</v>
      </c>
      <c r="L111">
        <v>2515</v>
      </c>
      <c r="M111" s="23">
        <f t="shared" si="1"/>
        <v>240622</v>
      </c>
    </row>
    <row r="112" spans="1:13" x14ac:dyDescent="0.25">
      <c r="A112" s="2">
        <v>45110</v>
      </c>
      <c r="B112">
        <v>475</v>
      </c>
      <c r="C112">
        <v>523</v>
      </c>
      <c r="D112">
        <v>53</v>
      </c>
      <c r="E112">
        <v>162</v>
      </c>
      <c r="F112">
        <v>114</v>
      </c>
      <c r="G112">
        <v>1</v>
      </c>
      <c r="H112">
        <v>1</v>
      </c>
      <c r="I112">
        <v>4</v>
      </c>
      <c r="J112">
        <v>2</v>
      </c>
      <c r="K112">
        <v>3</v>
      </c>
      <c r="L112">
        <v>1748</v>
      </c>
      <c r="M112" s="23">
        <f t="shared" si="1"/>
        <v>242370</v>
      </c>
    </row>
    <row r="113" spans="1:13" x14ac:dyDescent="0.25">
      <c r="A113" s="2">
        <v>45111</v>
      </c>
      <c r="B113">
        <v>-441</v>
      </c>
      <c r="C113">
        <v>-16</v>
      </c>
      <c r="D113">
        <v>224</v>
      </c>
      <c r="E113">
        <v>166</v>
      </c>
      <c r="F113">
        <v>161</v>
      </c>
      <c r="G113">
        <v>1</v>
      </c>
      <c r="H113">
        <v>1</v>
      </c>
      <c r="I113">
        <v>4</v>
      </c>
      <c r="J113">
        <v>2</v>
      </c>
      <c r="K113">
        <v>3</v>
      </c>
      <c r="L113">
        <v>1126</v>
      </c>
      <c r="M113" s="23">
        <f t="shared" si="1"/>
        <v>243496</v>
      </c>
    </row>
    <row r="114" spans="1:13" x14ac:dyDescent="0.25">
      <c r="A114" s="2">
        <v>45112</v>
      </c>
      <c r="B114">
        <v>997</v>
      </c>
      <c r="C114">
        <v>1090</v>
      </c>
      <c r="D114">
        <v>-37</v>
      </c>
      <c r="E114">
        <v>33</v>
      </c>
      <c r="F114">
        <v>-133</v>
      </c>
      <c r="G114">
        <v>1</v>
      </c>
      <c r="H114">
        <v>1</v>
      </c>
      <c r="I114">
        <v>4</v>
      </c>
      <c r="J114">
        <v>2</v>
      </c>
      <c r="K114">
        <v>3</v>
      </c>
      <c r="L114">
        <v>1478</v>
      </c>
      <c r="M114" s="23">
        <f t="shared" si="1"/>
        <v>244974</v>
      </c>
    </row>
    <row r="115" spans="1:13" x14ac:dyDescent="0.25">
      <c r="A115" s="2">
        <v>45113</v>
      </c>
      <c r="B115">
        <v>293</v>
      </c>
      <c r="C115">
        <v>261</v>
      </c>
      <c r="D115">
        <v>78</v>
      </c>
      <c r="E115">
        <v>-32</v>
      </c>
      <c r="F115">
        <v>122</v>
      </c>
      <c r="G115">
        <v>1</v>
      </c>
      <c r="H115">
        <v>1</v>
      </c>
      <c r="I115">
        <v>4</v>
      </c>
      <c r="J115">
        <v>2</v>
      </c>
      <c r="K115">
        <v>3</v>
      </c>
      <c r="L115">
        <v>1040</v>
      </c>
      <c r="M115" s="23">
        <f t="shared" si="1"/>
        <v>246014</v>
      </c>
    </row>
    <row r="116" spans="1:13" x14ac:dyDescent="0.25">
      <c r="A116" s="2">
        <v>45114</v>
      </c>
      <c r="B116">
        <v>462</v>
      </c>
      <c r="C116">
        <v>1146</v>
      </c>
      <c r="D116">
        <v>6</v>
      </c>
      <c r="E116">
        <v>150</v>
      </c>
      <c r="F116">
        <v>100</v>
      </c>
      <c r="G116">
        <v>1</v>
      </c>
      <c r="H116">
        <v>1</v>
      </c>
      <c r="I116">
        <v>4</v>
      </c>
      <c r="J116">
        <v>2</v>
      </c>
      <c r="K116">
        <v>3</v>
      </c>
      <c r="L116">
        <v>2104</v>
      </c>
      <c r="M116" s="23">
        <f t="shared" si="1"/>
        <v>248118</v>
      </c>
    </row>
    <row r="117" spans="1:13" x14ac:dyDescent="0.25">
      <c r="A117" s="2">
        <v>45117</v>
      </c>
      <c r="B117">
        <v>509</v>
      </c>
      <c r="C117">
        <v>564</v>
      </c>
      <c r="D117">
        <v>23</v>
      </c>
      <c r="E117">
        <v>294</v>
      </c>
      <c r="F117">
        <v>-152</v>
      </c>
      <c r="G117">
        <v>1</v>
      </c>
      <c r="H117">
        <v>1</v>
      </c>
      <c r="I117">
        <v>4</v>
      </c>
      <c r="J117">
        <v>2</v>
      </c>
      <c r="K117">
        <v>3</v>
      </c>
      <c r="L117">
        <v>1169</v>
      </c>
      <c r="M117" s="23">
        <f t="shared" si="1"/>
        <v>249287</v>
      </c>
    </row>
    <row r="118" spans="1:13" x14ac:dyDescent="0.25">
      <c r="A118" s="2">
        <v>45118</v>
      </c>
      <c r="B118">
        <v>110</v>
      </c>
      <c r="C118">
        <v>213</v>
      </c>
      <c r="D118">
        <v>114</v>
      </c>
      <c r="E118">
        <v>150</v>
      </c>
      <c r="F118">
        <v>-45</v>
      </c>
      <c r="G118">
        <v>1</v>
      </c>
      <c r="H118">
        <v>1</v>
      </c>
      <c r="I118">
        <v>4</v>
      </c>
      <c r="J118">
        <v>2</v>
      </c>
      <c r="K118">
        <v>3</v>
      </c>
      <c r="L118">
        <v>816</v>
      </c>
      <c r="M118" s="23">
        <f t="shared" si="1"/>
        <v>250103</v>
      </c>
    </row>
    <row r="119" spans="1:13" x14ac:dyDescent="0.25">
      <c r="A119" s="2">
        <v>45119</v>
      </c>
      <c r="B119">
        <v>512</v>
      </c>
      <c r="C119">
        <v>576</v>
      </c>
      <c r="D119">
        <v>152</v>
      </c>
      <c r="E119">
        <v>76</v>
      </c>
      <c r="F119">
        <v>91</v>
      </c>
      <c r="G119">
        <v>1</v>
      </c>
      <c r="H119">
        <v>1</v>
      </c>
      <c r="I119">
        <v>4</v>
      </c>
      <c r="J119">
        <v>2</v>
      </c>
      <c r="K119">
        <v>3</v>
      </c>
      <c r="L119">
        <v>1993</v>
      </c>
      <c r="M119" s="23">
        <f t="shared" si="1"/>
        <v>252096</v>
      </c>
    </row>
    <row r="120" spans="1:13" x14ac:dyDescent="0.25">
      <c r="A120" s="2">
        <v>45120</v>
      </c>
      <c r="B120">
        <v>515</v>
      </c>
      <c r="C120">
        <v>599</v>
      </c>
      <c r="D120">
        <v>101</v>
      </c>
      <c r="E120">
        <v>167</v>
      </c>
      <c r="F120">
        <v>92</v>
      </c>
      <c r="G120">
        <v>1</v>
      </c>
      <c r="H120">
        <v>1</v>
      </c>
      <c r="I120">
        <v>4</v>
      </c>
      <c r="J120">
        <v>2</v>
      </c>
      <c r="K120">
        <v>3</v>
      </c>
      <c r="L120">
        <v>2000</v>
      </c>
      <c r="M120" s="23">
        <f t="shared" si="1"/>
        <v>254096</v>
      </c>
    </row>
    <row r="121" spans="1:13" x14ac:dyDescent="0.25">
      <c r="A121" s="2">
        <v>45121</v>
      </c>
      <c r="B121">
        <v>-663</v>
      </c>
      <c r="C121">
        <v>598</v>
      </c>
      <c r="D121">
        <v>-96</v>
      </c>
      <c r="E121">
        <v>-47</v>
      </c>
      <c r="F121">
        <v>-56</v>
      </c>
      <c r="G121">
        <v>1</v>
      </c>
      <c r="H121">
        <v>1</v>
      </c>
      <c r="I121">
        <v>4</v>
      </c>
      <c r="J121">
        <v>2</v>
      </c>
      <c r="K121">
        <v>3</v>
      </c>
      <c r="L121">
        <v>-839</v>
      </c>
      <c r="M121" s="23">
        <f t="shared" si="1"/>
        <v>253257</v>
      </c>
    </row>
    <row r="122" spans="1:13" x14ac:dyDescent="0.25">
      <c r="A122" s="2">
        <v>45124</v>
      </c>
      <c r="B122">
        <v>757</v>
      </c>
      <c r="C122">
        <v>1065</v>
      </c>
      <c r="D122">
        <v>172</v>
      </c>
      <c r="E122">
        <v>-201</v>
      </c>
      <c r="F122">
        <v>212</v>
      </c>
      <c r="G122">
        <v>1</v>
      </c>
      <c r="H122">
        <v>1</v>
      </c>
      <c r="I122">
        <v>4</v>
      </c>
      <c r="J122">
        <v>2</v>
      </c>
      <c r="K122">
        <v>3</v>
      </c>
      <c r="L122">
        <v>2616</v>
      </c>
      <c r="M122" s="23">
        <f t="shared" si="1"/>
        <v>255873</v>
      </c>
    </row>
    <row r="123" spans="1:13" x14ac:dyDescent="0.25">
      <c r="A123" s="2">
        <v>45125</v>
      </c>
      <c r="B123">
        <v>-164</v>
      </c>
      <c r="C123">
        <v>-461</v>
      </c>
      <c r="D123">
        <v>203</v>
      </c>
      <c r="E123">
        <v>-143</v>
      </c>
      <c r="F123">
        <v>157</v>
      </c>
      <c r="G123">
        <v>1</v>
      </c>
      <c r="H123">
        <v>1</v>
      </c>
      <c r="I123">
        <v>4</v>
      </c>
      <c r="J123">
        <v>2</v>
      </c>
      <c r="K123">
        <v>3</v>
      </c>
      <c r="L123">
        <v>244</v>
      </c>
      <c r="M123" s="23">
        <f t="shared" si="1"/>
        <v>256117</v>
      </c>
    </row>
    <row r="124" spans="1:13" x14ac:dyDescent="0.25">
      <c r="A124" s="2">
        <v>45126</v>
      </c>
      <c r="B124">
        <v>-210</v>
      </c>
      <c r="C124">
        <v>-175</v>
      </c>
      <c r="D124">
        <v>107</v>
      </c>
      <c r="E124">
        <v>-59</v>
      </c>
      <c r="F124">
        <v>109</v>
      </c>
      <c r="G124">
        <v>1</v>
      </c>
      <c r="H124">
        <v>1</v>
      </c>
      <c r="I124">
        <v>4</v>
      </c>
      <c r="J124">
        <v>2</v>
      </c>
      <c r="K124">
        <v>3</v>
      </c>
      <c r="L124">
        <v>124</v>
      </c>
      <c r="M124" s="23">
        <f t="shared" si="1"/>
        <v>256241</v>
      </c>
    </row>
    <row r="125" spans="1:13" x14ac:dyDescent="0.25">
      <c r="A125" s="2">
        <v>45127</v>
      </c>
      <c r="B125">
        <v>-511</v>
      </c>
      <c r="C125">
        <v>557</v>
      </c>
      <c r="D125">
        <v>220</v>
      </c>
      <c r="E125">
        <v>296</v>
      </c>
      <c r="F125">
        <v>219</v>
      </c>
      <c r="G125">
        <v>1</v>
      </c>
      <c r="H125">
        <v>1</v>
      </c>
      <c r="I125">
        <v>4</v>
      </c>
      <c r="J125">
        <v>2</v>
      </c>
      <c r="K125">
        <v>3</v>
      </c>
      <c r="L125">
        <v>2047</v>
      </c>
      <c r="M125" s="23">
        <f t="shared" si="1"/>
        <v>258288</v>
      </c>
    </row>
    <row r="126" spans="1:13" x14ac:dyDescent="0.25">
      <c r="A126" s="2">
        <v>45128</v>
      </c>
      <c r="B126">
        <v>-734</v>
      </c>
      <c r="C126">
        <v>-769</v>
      </c>
      <c r="D126">
        <v>-42</v>
      </c>
      <c r="E126">
        <v>-83</v>
      </c>
      <c r="F126">
        <v>-137</v>
      </c>
      <c r="G126">
        <v>1</v>
      </c>
      <c r="H126">
        <v>1</v>
      </c>
      <c r="I126">
        <v>4</v>
      </c>
      <c r="J126">
        <v>2</v>
      </c>
      <c r="K126">
        <v>3</v>
      </c>
      <c r="L126">
        <v>-2376</v>
      </c>
      <c r="M126" s="23">
        <f t="shared" si="1"/>
        <v>255912</v>
      </c>
    </row>
    <row r="127" spans="1:13" x14ac:dyDescent="0.25">
      <c r="A127" s="2">
        <v>45131</v>
      </c>
      <c r="B127">
        <v>463</v>
      </c>
      <c r="C127">
        <v>560</v>
      </c>
      <c r="D127">
        <v>59</v>
      </c>
      <c r="E127">
        <v>74</v>
      </c>
      <c r="F127">
        <v>37</v>
      </c>
      <c r="G127">
        <v>1</v>
      </c>
      <c r="H127">
        <v>1</v>
      </c>
      <c r="I127">
        <v>4</v>
      </c>
      <c r="J127">
        <v>2</v>
      </c>
      <c r="K127">
        <v>3</v>
      </c>
      <c r="L127">
        <v>1390</v>
      </c>
      <c r="M127" s="23">
        <f t="shared" si="1"/>
        <v>257302</v>
      </c>
    </row>
    <row r="128" spans="1:13" x14ac:dyDescent="0.25">
      <c r="A128" s="2">
        <v>45132</v>
      </c>
      <c r="B128">
        <v>-166</v>
      </c>
      <c r="C128">
        <v>-50</v>
      </c>
      <c r="D128">
        <v>-24</v>
      </c>
      <c r="E128">
        <v>224</v>
      </c>
      <c r="F128">
        <v>211</v>
      </c>
      <c r="G128">
        <v>1</v>
      </c>
      <c r="H128">
        <v>1</v>
      </c>
      <c r="I128">
        <v>4</v>
      </c>
      <c r="J128">
        <v>2</v>
      </c>
      <c r="K128">
        <v>3</v>
      </c>
      <c r="L128">
        <v>641</v>
      </c>
      <c r="M128" s="23">
        <f t="shared" si="1"/>
        <v>257943</v>
      </c>
    </row>
    <row r="129" spans="1:13" x14ac:dyDescent="0.25">
      <c r="A129" s="2">
        <v>45133</v>
      </c>
      <c r="B129">
        <v>-221</v>
      </c>
      <c r="C129">
        <v>121</v>
      </c>
      <c r="D129">
        <v>-77</v>
      </c>
      <c r="E129">
        <v>31</v>
      </c>
      <c r="F129">
        <v>157</v>
      </c>
      <c r="G129">
        <v>1</v>
      </c>
      <c r="H129">
        <v>1</v>
      </c>
      <c r="I129">
        <v>4</v>
      </c>
      <c r="J129">
        <v>2</v>
      </c>
      <c r="K129">
        <v>3</v>
      </c>
      <c r="L129">
        <v>-3</v>
      </c>
      <c r="M129" s="23">
        <f t="shared" si="1"/>
        <v>257940</v>
      </c>
    </row>
    <row r="130" spans="1:13" x14ac:dyDescent="0.25">
      <c r="A130" s="2">
        <v>45134</v>
      </c>
      <c r="B130">
        <v>-634</v>
      </c>
      <c r="C130">
        <v>-170</v>
      </c>
      <c r="D130">
        <v>-5</v>
      </c>
      <c r="E130">
        <v>-34</v>
      </c>
      <c r="F130">
        <v>-89</v>
      </c>
      <c r="G130">
        <v>1</v>
      </c>
      <c r="H130">
        <v>1</v>
      </c>
      <c r="I130">
        <v>4</v>
      </c>
      <c r="J130">
        <v>2</v>
      </c>
      <c r="K130">
        <v>3</v>
      </c>
      <c r="L130">
        <v>-1287</v>
      </c>
      <c r="M130" s="23">
        <f t="shared" si="1"/>
        <v>256653</v>
      </c>
    </row>
    <row r="131" spans="1:13" x14ac:dyDescent="0.25">
      <c r="A131" s="2">
        <v>45135</v>
      </c>
      <c r="B131">
        <v>824</v>
      </c>
      <c r="C131">
        <v>506</v>
      </c>
      <c r="D131">
        <v>-73</v>
      </c>
      <c r="E131">
        <v>130</v>
      </c>
      <c r="F131">
        <v>39</v>
      </c>
      <c r="G131">
        <v>1</v>
      </c>
      <c r="H131">
        <v>1</v>
      </c>
      <c r="I131">
        <v>4</v>
      </c>
      <c r="J131">
        <v>2</v>
      </c>
      <c r="K131">
        <v>3</v>
      </c>
      <c r="L131">
        <v>1287</v>
      </c>
      <c r="M131" s="23">
        <f t="shared" si="1"/>
        <v>257940</v>
      </c>
    </row>
    <row r="132" spans="1:13" x14ac:dyDescent="0.25">
      <c r="A132" s="2">
        <v>45138</v>
      </c>
      <c r="B132">
        <v>422</v>
      </c>
      <c r="C132">
        <v>532</v>
      </c>
      <c r="D132">
        <v>100</v>
      </c>
      <c r="E132">
        <v>259</v>
      </c>
      <c r="F132">
        <v>-239</v>
      </c>
      <c r="G132">
        <v>1</v>
      </c>
      <c r="H132">
        <v>1</v>
      </c>
      <c r="I132">
        <v>4</v>
      </c>
      <c r="J132">
        <v>2</v>
      </c>
      <c r="K132">
        <v>3</v>
      </c>
      <c r="L132">
        <v>1027</v>
      </c>
      <c r="M132" s="23">
        <f t="shared" ref="M132:M195" si="2">M131+L132</f>
        <v>258967</v>
      </c>
    </row>
    <row r="133" spans="1:13" x14ac:dyDescent="0.25">
      <c r="A133" s="2">
        <v>45139</v>
      </c>
      <c r="B133">
        <v>423</v>
      </c>
      <c r="C133">
        <v>-999</v>
      </c>
      <c r="D133">
        <v>103</v>
      </c>
      <c r="E133">
        <v>90</v>
      </c>
      <c r="F133">
        <v>161</v>
      </c>
      <c r="G133">
        <v>1</v>
      </c>
      <c r="H133">
        <v>1</v>
      </c>
      <c r="I133">
        <v>4</v>
      </c>
      <c r="J133">
        <v>2</v>
      </c>
      <c r="K133">
        <v>3</v>
      </c>
      <c r="L133">
        <v>371</v>
      </c>
      <c r="M133" s="23">
        <f t="shared" si="2"/>
        <v>259338</v>
      </c>
    </row>
    <row r="134" spans="1:13" x14ac:dyDescent="0.25">
      <c r="A134" s="2">
        <v>45140</v>
      </c>
      <c r="B134">
        <v>857</v>
      </c>
      <c r="C134">
        <v>1068</v>
      </c>
      <c r="D134">
        <v>-84</v>
      </c>
      <c r="E134">
        <v>48</v>
      </c>
      <c r="F134">
        <v>-55</v>
      </c>
      <c r="G134">
        <v>1</v>
      </c>
      <c r="H134">
        <v>1</v>
      </c>
      <c r="I134">
        <v>4</v>
      </c>
      <c r="J134">
        <v>2</v>
      </c>
      <c r="K134">
        <v>3</v>
      </c>
      <c r="L134">
        <v>1392</v>
      </c>
      <c r="M134" s="23">
        <f t="shared" si="2"/>
        <v>260730</v>
      </c>
    </row>
    <row r="135" spans="1:13" x14ac:dyDescent="0.25">
      <c r="A135" s="2">
        <v>45141</v>
      </c>
      <c r="B135">
        <v>259</v>
      </c>
      <c r="C135">
        <v>172</v>
      </c>
      <c r="D135">
        <v>212</v>
      </c>
      <c r="E135">
        <v>-23</v>
      </c>
      <c r="F135">
        <v>77</v>
      </c>
      <c r="G135">
        <v>1</v>
      </c>
      <c r="H135">
        <v>1</v>
      </c>
      <c r="I135">
        <v>4</v>
      </c>
      <c r="J135">
        <v>2</v>
      </c>
      <c r="K135">
        <v>3</v>
      </c>
      <c r="L135">
        <v>1336</v>
      </c>
      <c r="M135" s="23">
        <f t="shared" si="2"/>
        <v>262066</v>
      </c>
    </row>
    <row r="136" spans="1:13" x14ac:dyDescent="0.25">
      <c r="A136" s="2">
        <v>45142</v>
      </c>
      <c r="B136">
        <v>910</v>
      </c>
      <c r="C136">
        <v>1104</v>
      </c>
      <c r="D136">
        <v>110</v>
      </c>
      <c r="E136">
        <v>171</v>
      </c>
      <c r="F136">
        <v>214</v>
      </c>
      <c r="G136">
        <v>1</v>
      </c>
      <c r="H136">
        <v>1</v>
      </c>
      <c r="I136">
        <v>4</v>
      </c>
      <c r="J136">
        <v>2</v>
      </c>
      <c r="K136">
        <v>3</v>
      </c>
      <c r="L136">
        <v>3310</v>
      </c>
      <c r="M136" s="23">
        <f t="shared" si="2"/>
        <v>265376</v>
      </c>
    </row>
    <row r="137" spans="1:13" x14ac:dyDescent="0.25">
      <c r="A137" s="2">
        <v>45145</v>
      </c>
      <c r="B137">
        <v>-298</v>
      </c>
      <c r="C137">
        <v>-230</v>
      </c>
      <c r="D137">
        <v>232</v>
      </c>
      <c r="E137">
        <v>376</v>
      </c>
      <c r="F137">
        <v>243</v>
      </c>
      <c r="G137">
        <v>1</v>
      </c>
      <c r="H137">
        <v>1</v>
      </c>
      <c r="I137">
        <v>4</v>
      </c>
      <c r="J137">
        <v>2</v>
      </c>
      <c r="K137">
        <v>3</v>
      </c>
      <c r="L137">
        <v>1753</v>
      </c>
      <c r="M137" s="23">
        <f t="shared" si="2"/>
        <v>267129</v>
      </c>
    </row>
    <row r="138" spans="1:13" x14ac:dyDescent="0.25">
      <c r="A138" s="2">
        <v>45146</v>
      </c>
      <c r="B138">
        <v>502</v>
      </c>
      <c r="C138">
        <v>600</v>
      </c>
      <c r="D138">
        <v>-44</v>
      </c>
      <c r="E138">
        <v>-309</v>
      </c>
      <c r="F138">
        <v>-228</v>
      </c>
      <c r="G138">
        <v>1</v>
      </c>
      <c r="H138">
        <v>1</v>
      </c>
      <c r="I138">
        <v>4</v>
      </c>
      <c r="J138">
        <v>2</v>
      </c>
      <c r="K138">
        <v>3</v>
      </c>
      <c r="L138">
        <v>-504</v>
      </c>
      <c r="M138" s="23">
        <f t="shared" si="2"/>
        <v>266625</v>
      </c>
    </row>
    <row r="139" spans="1:13" x14ac:dyDescent="0.25">
      <c r="A139" s="2">
        <v>45147</v>
      </c>
      <c r="B139">
        <v>527</v>
      </c>
      <c r="C139">
        <v>613</v>
      </c>
      <c r="D139">
        <v>232</v>
      </c>
      <c r="E139">
        <v>-60</v>
      </c>
      <c r="F139">
        <v>-77</v>
      </c>
      <c r="G139">
        <v>1</v>
      </c>
      <c r="H139">
        <v>1</v>
      </c>
      <c r="I139">
        <v>4</v>
      </c>
      <c r="J139">
        <v>2</v>
      </c>
      <c r="K139">
        <v>3</v>
      </c>
      <c r="L139">
        <v>1589</v>
      </c>
      <c r="M139" s="23">
        <f t="shared" si="2"/>
        <v>268214</v>
      </c>
    </row>
    <row r="140" spans="1:13" x14ac:dyDescent="0.25">
      <c r="A140" s="2">
        <v>45148</v>
      </c>
      <c r="B140">
        <v>-900</v>
      </c>
      <c r="C140">
        <v>-1007</v>
      </c>
      <c r="D140">
        <v>129</v>
      </c>
      <c r="E140">
        <v>189</v>
      </c>
      <c r="F140">
        <v>124</v>
      </c>
      <c r="G140">
        <v>1</v>
      </c>
      <c r="H140">
        <v>1</v>
      </c>
      <c r="I140">
        <v>4</v>
      </c>
      <c r="J140">
        <v>2</v>
      </c>
      <c r="K140">
        <v>3</v>
      </c>
      <c r="L140">
        <v>-769</v>
      </c>
      <c r="M140" s="23">
        <f t="shared" si="2"/>
        <v>267445</v>
      </c>
    </row>
    <row r="141" spans="1:13" x14ac:dyDescent="0.25">
      <c r="A141" s="2">
        <v>45149</v>
      </c>
      <c r="B141">
        <v>1050</v>
      </c>
      <c r="C141">
        <v>1215</v>
      </c>
      <c r="D141">
        <v>-84</v>
      </c>
      <c r="E141">
        <v>-132</v>
      </c>
      <c r="F141">
        <v>-98</v>
      </c>
      <c r="G141">
        <v>1</v>
      </c>
      <c r="H141">
        <v>1</v>
      </c>
      <c r="I141">
        <v>4</v>
      </c>
      <c r="J141">
        <v>2</v>
      </c>
      <c r="K141">
        <v>3</v>
      </c>
      <c r="L141">
        <v>1243</v>
      </c>
      <c r="M141" s="23">
        <f t="shared" si="2"/>
        <v>268688</v>
      </c>
    </row>
    <row r="142" spans="1:13" x14ac:dyDescent="0.25">
      <c r="A142" s="2">
        <v>45152</v>
      </c>
      <c r="B142">
        <v>543</v>
      </c>
      <c r="C142">
        <v>614</v>
      </c>
      <c r="D142">
        <v>79</v>
      </c>
      <c r="E142">
        <v>361</v>
      </c>
      <c r="F142">
        <v>254</v>
      </c>
      <c r="G142">
        <v>1</v>
      </c>
      <c r="H142">
        <v>1</v>
      </c>
      <c r="I142">
        <v>4</v>
      </c>
      <c r="J142">
        <v>2</v>
      </c>
      <c r="K142">
        <v>3</v>
      </c>
      <c r="L142">
        <v>2829</v>
      </c>
      <c r="M142" s="23">
        <f t="shared" si="2"/>
        <v>271517</v>
      </c>
    </row>
    <row r="143" spans="1:13" x14ac:dyDescent="0.25">
      <c r="A143" s="2">
        <v>45153</v>
      </c>
      <c r="B143">
        <v>43</v>
      </c>
      <c r="C143">
        <v>511</v>
      </c>
      <c r="D143">
        <v>-94</v>
      </c>
      <c r="E143">
        <v>-155</v>
      </c>
      <c r="F143">
        <v>132</v>
      </c>
      <c r="G143">
        <v>1</v>
      </c>
      <c r="H143">
        <v>1</v>
      </c>
      <c r="I143">
        <v>4</v>
      </c>
      <c r="J143">
        <v>2</v>
      </c>
      <c r="K143">
        <v>3</v>
      </c>
      <c r="L143">
        <v>136</v>
      </c>
      <c r="M143" s="23">
        <f t="shared" si="2"/>
        <v>271653</v>
      </c>
    </row>
    <row r="144" spans="1:13" x14ac:dyDescent="0.25">
      <c r="A144" s="2">
        <v>45154</v>
      </c>
      <c r="B144">
        <v>1355</v>
      </c>
      <c r="C144">
        <v>1542</v>
      </c>
      <c r="D144">
        <v>233</v>
      </c>
      <c r="E144">
        <v>198</v>
      </c>
      <c r="F144">
        <v>-126</v>
      </c>
      <c r="G144">
        <v>1</v>
      </c>
      <c r="H144">
        <v>1</v>
      </c>
      <c r="I144">
        <v>4</v>
      </c>
      <c r="J144">
        <v>2</v>
      </c>
      <c r="K144">
        <v>3</v>
      </c>
      <c r="L144">
        <v>3719</v>
      </c>
      <c r="M144" s="23">
        <f t="shared" si="2"/>
        <v>275372</v>
      </c>
    </row>
    <row r="145" spans="1:13" x14ac:dyDescent="0.25">
      <c r="A145" s="2">
        <v>45155</v>
      </c>
      <c r="B145">
        <v>1260</v>
      </c>
      <c r="C145">
        <v>1368</v>
      </c>
      <c r="D145">
        <v>69</v>
      </c>
      <c r="E145">
        <v>-60</v>
      </c>
      <c r="F145">
        <v>151</v>
      </c>
      <c r="G145">
        <v>1</v>
      </c>
      <c r="H145">
        <v>1</v>
      </c>
      <c r="I145">
        <v>4</v>
      </c>
      <c r="J145">
        <v>2</v>
      </c>
      <c r="K145">
        <v>3</v>
      </c>
      <c r="L145">
        <v>3109</v>
      </c>
      <c r="M145" s="23">
        <f t="shared" si="2"/>
        <v>278481</v>
      </c>
    </row>
    <row r="146" spans="1:13" x14ac:dyDescent="0.25">
      <c r="A146" s="2">
        <v>45156</v>
      </c>
      <c r="B146">
        <v>-394</v>
      </c>
      <c r="C146">
        <v>-154</v>
      </c>
      <c r="D146">
        <v>-163</v>
      </c>
      <c r="E146">
        <v>306</v>
      </c>
      <c r="F146">
        <v>316</v>
      </c>
      <c r="G146">
        <v>1</v>
      </c>
      <c r="H146">
        <v>1</v>
      </c>
      <c r="I146">
        <v>4</v>
      </c>
      <c r="J146">
        <v>2</v>
      </c>
      <c r="K146">
        <v>3</v>
      </c>
      <c r="L146">
        <v>232</v>
      </c>
      <c r="M146" s="23">
        <f t="shared" si="2"/>
        <v>278713</v>
      </c>
    </row>
    <row r="147" spans="1:13" x14ac:dyDescent="0.25">
      <c r="A147" s="2">
        <v>45159</v>
      </c>
      <c r="B147">
        <v>101</v>
      </c>
      <c r="C147">
        <v>430</v>
      </c>
      <c r="D147">
        <v>63</v>
      </c>
      <c r="E147">
        <v>-119</v>
      </c>
      <c r="F147">
        <v>-96</v>
      </c>
      <c r="G147">
        <v>1</v>
      </c>
      <c r="H147">
        <v>1</v>
      </c>
      <c r="I147">
        <v>4</v>
      </c>
      <c r="J147">
        <v>2</v>
      </c>
      <c r="K147">
        <v>3</v>
      </c>
      <c r="L147">
        <v>129</v>
      </c>
      <c r="M147" s="23">
        <f t="shared" si="2"/>
        <v>278842</v>
      </c>
    </row>
    <row r="148" spans="1:13" x14ac:dyDescent="0.25">
      <c r="A148" s="2">
        <v>45160</v>
      </c>
      <c r="B148">
        <v>437</v>
      </c>
      <c r="C148">
        <v>38</v>
      </c>
      <c r="D148">
        <v>2</v>
      </c>
      <c r="E148">
        <v>-24</v>
      </c>
      <c r="F148">
        <v>163</v>
      </c>
      <c r="G148">
        <v>1</v>
      </c>
      <c r="H148">
        <v>1</v>
      </c>
      <c r="I148">
        <v>4</v>
      </c>
      <c r="J148">
        <v>2</v>
      </c>
      <c r="K148">
        <v>3</v>
      </c>
      <c r="L148">
        <v>796</v>
      </c>
      <c r="M148" s="23">
        <f t="shared" si="2"/>
        <v>279638</v>
      </c>
    </row>
    <row r="149" spans="1:13" x14ac:dyDescent="0.25">
      <c r="A149" s="2">
        <v>45161</v>
      </c>
      <c r="B149">
        <v>566</v>
      </c>
      <c r="C149">
        <v>611</v>
      </c>
      <c r="D149">
        <v>116</v>
      </c>
      <c r="E149">
        <v>180</v>
      </c>
      <c r="F149">
        <v>163</v>
      </c>
      <c r="G149">
        <v>1</v>
      </c>
      <c r="H149">
        <v>1</v>
      </c>
      <c r="I149">
        <v>4</v>
      </c>
      <c r="J149">
        <v>2</v>
      </c>
      <c r="K149">
        <v>3</v>
      </c>
      <c r="L149">
        <v>2362</v>
      </c>
      <c r="M149" s="23">
        <f t="shared" si="2"/>
        <v>282000</v>
      </c>
    </row>
    <row r="150" spans="1:13" x14ac:dyDescent="0.25">
      <c r="A150" s="2">
        <v>45162</v>
      </c>
      <c r="B150">
        <v>94</v>
      </c>
      <c r="C150">
        <v>-362</v>
      </c>
      <c r="D150">
        <v>-73</v>
      </c>
      <c r="E150">
        <v>-118</v>
      </c>
      <c r="F150">
        <v>-194</v>
      </c>
      <c r="G150">
        <v>1</v>
      </c>
      <c r="H150">
        <v>1</v>
      </c>
      <c r="I150">
        <v>4</v>
      </c>
      <c r="J150">
        <v>2</v>
      </c>
      <c r="K150">
        <v>3</v>
      </c>
      <c r="L150">
        <v>-1506</v>
      </c>
      <c r="M150" s="23">
        <f t="shared" si="2"/>
        <v>280494</v>
      </c>
    </row>
    <row r="151" spans="1:13" x14ac:dyDescent="0.25">
      <c r="A151" s="2">
        <v>45163</v>
      </c>
      <c r="B151">
        <v>1172</v>
      </c>
      <c r="C151">
        <v>-1271</v>
      </c>
      <c r="D151">
        <v>-26</v>
      </c>
      <c r="E151">
        <v>83</v>
      </c>
      <c r="F151">
        <v>95</v>
      </c>
      <c r="G151">
        <v>1</v>
      </c>
      <c r="H151">
        <v>1</v>
      </c>
      <c r="I151">
        <v>4</v>
      </c>
      <c r="J151">
        <v>2</v>
      </c>
      <c r="K151">
        <v>3</v>
      </c>
      <c r="L151">
        <v>120</v>
      </c>
      <c r="M151" s="23">
        <f t="shared" si="2"/>
        <v>280614</v>
      </c>
    </row>
    <row r="152" spans="1:13" x14ac:dyDescent="0.25">
      <c r="A152" s="2">
        <v>45166</v>
      </c>
      <c r="B152">
        <v>-166</v>
      </c>
      <c r="C152">
        <v>-100</v>
      </c>
      <c r="D152">
        <v>-50</v>
      </c>
      <c r="E152">
        <v>352</v>
      </c>
      <c r="F152">
        <v>330</v>
      </c>
      <c r="G152">
        <v>1</v>
      </c>
      <c r="H152">
        <v>1</v>
      </c>
      <c r="I152">
        <v>4</v>
      </c>
      <c r="J152">
        <v>2</v>
      </c>
      <c r="K152">
        <v>3</v>
      </c>
      <c r="L152">
        <v>1100</v>
      </c>
      <c r="M152" s="23">
        <f t="shared" si="2"/>
        <v>281714</v>
      </c>
    </row>
    <row r="153" spans="1:13" x14ac:dyDescent="0.25">
      <c r="A153" s="2">
        <v>45167</v>
      </c>
      <c r="B153">
        <v>-14</v>
      </c>
      <c r="C153">
        <v>-503</v>
      </c>
      <c r="D153">
        <v>216</v>
      </c>
      <c r="E153">
        <v>-92</v>
      </c>
      <c r="F153">
        <v>91</v>
      </c>
      <c r="G153">
        <v>1</v>
      </c>
      <c r="H153">
        <v>1</v>
      </c>
      <c r="I153">
        <v>4</v>
      </c>
      <c r="J153">
        <v>2</v>
      </c>
      <c r="K153">
        <v>3</v>
      </c>
      <c r="L153">
        <v>308</v>
      </c>
      <c r="M153" s="23">
        <f t="shared" si="2"/>
        <v>282022</v>
      </c>
    </row>
    <row r="154" spans="1:13" x14ac:dyDescent="0.25">
      <c r="A154" s="2">
        <v>45168</v>
      </c>
      <c r="B154">
        <v>574</v>
      </c>
      <c r="C154">
        <v>1166</v>
      </c>
      <c r="D154">
        <v>115</v>
      </c>
      <c r="E154">
        <v>99</v>
      </c>
      <c r="F154">
        <v>323</v>
      </c>
      <c r="G154">
        <v>1</v>
      </c>
      <c r="H154">
        <v>1</v>
      </c>
      <c r="I154">
        <v>4</v>
      </c>
      <c r="J154">
        <v>2</v>
      </c>
      <c r="K154">
        <v>3</v>
      </c>
      <c r="L154">
        <v>3239</v>
      </c>
      <c r="M154" s="23">
        <f t="shared" si="2"/>
        <v>285261</v>
      </c>
    </row>
    <row r="155" spans="1:13" x14ac:dyDescent="0.25">
      <c r="A155" s="2">
        <v>45169</v>
      </c>
      <c r="B155">
        <v>-387</v>
      </c>
      <c r="C155">
        <v>652</v>
      </c>
      <c r="D155">
        <v>-6</v>
      </c>
      <c r="E155">
        <v>32</v>
      </c>
      <c r="F155">
        <v>209</v>
      </c>
      <c r="G155">
        <v>1</v>
      </c>
      <c r="H155">
        <v>1</v>
      </c>
      <c r="I155">
        <v>4</v>
      </c>
      <c r="J155">
        <v>2</v>
      </c>
      <c r="K155">
        <v>3</v>
      </c>
      <c r="L155">
        <v>804</v>
      </c>
      <c r="M155" s="23">
        <f t="shared" si="2"/>
        <v>286065</v>
      </c>
    </row>
    <row r="156" spans="1:13" x14ac:dyDescent="0.25">
      <c r="A156" s="2">
        <v>45170</v>
      </c>
      <c r="B156">
        <v>-313</v>
      </c>
      <c r="C156">
        <v>229</v>
      </c>
      <c r="D156">
        <v>-9</v>
      </c>
      <c r="E156">
        <v>21</v>
      </c>
      <c r="F156">
        <v>-160</v>
      </c>
      <c r="G156">
        <v>1</v>
      </c>
      <c r="H156">
        <v>1</v>
      </c>
      <c r="I156">
        <v>4</v>
      </c>
      <c r="J156">
        <v>2</v>
      </c>
      <c r="K156">
        <v>3</v>
      </c>
      <c r="L156">
        <v>-686</v>
      </c>
      <c r="M156" s="23">
        <f t="shared" si="2"/>
        <v>285379</v>
      </c>
    </row>
    <row r="157" spans="1:13" x14ac:dyDescent="0.25">
      <c r="A157" s="2">
        <v>45173</v>
      </c>
      <c r="B157">
        <v>587</v>
      </c>
      <c r="C157">
        <v>-653</v>
      </c>
      <c r="D157">
        <v>163</v>
      </c>
      <c r="E157">
        <v>-48</v>
      </c>
      <c r="F157">
        <v>325</v>
      </c>
      <c r="G157">
        <v>1</v>
      </c>
      <c r="H157">
        <v>1</v>
      </c>
      <c r="I157">
        <v>4</v>
      </c>
      <c r="J157">
        <v>2</v>
      </c>
      <c r="K157">
        <v>3</v>
      </c>
      <c r="L157">
        <v>1337</v>
      </c>
      <c r="M157" s="23">
        <f t="shared" si="2"/>
        <v>286716</v>
      </c>
    </row>
    <row r="158" spans="1:13" x14ac:dyDescent="0.25">
      <c r="A158" s="2">
        <v>45174</v>
      </c>
      <c r="B158">
        <v>793</v>
      </c>
      <c r="C158">
        <v>194</v>
      </c>
      <c r="D158">
        <v>87</v>
      </c>
      <c r="E158">
        <v>159</v>
      </c>
      <c r="F158">
        <v>215</v>
      </c>
      <c r="G158">
        <v>1</v>
      </c>
      <c r="H158">
        <v>1</v>
      </c>
      <c r="I158">
        <v>4</v>
      </c>
      <c r="J158">
        <v>2</v>
      </c>
      <c r="K158">
        <v>3</v>
      </c>
      <c r="L158">
        <v>2170</v>
      </c>
      <c r="M158" s="23">
        <f t="shared" si="2"/>
        <v>288886</v>
      </c>
    </row>
    <row r="159" spans="1:13" x14ac:dyDescent="0.25">
      <c r="A159" s="2">
        <v>45175</v>
      </c>
      <c r="B159">
        <v>384</v>
      </c>
      <c r="C159">
        <v>357</v>
      </c>
      <c r="D159">
        <v>108</v>
      </c>
      <c r="E159">
        <v>116</v>
      </c>
      <c r="F159">
        <v>-73</v>
      </c>
      <c r="G159">
        <v>1</v>
      </c>
      <c r="H159">
        <v>1</v>
      </c>
      <c r="I159">
        <v>4</v>
      </c>
      <c r="J159">
        <v>2</v>
      </c>
      <c r="K159">
        <v>3</v>
      </c>
      <c r="L159">
        <v>1058</v>
      </c>
      <c r="M159" s="23">
        <f t="shared" si="2"/>
        <v>289944</v>
      </c>
    </row>
    <row r="160" spans="1:13" x14ac:dyDescent="0.25">
      <c r="A160" s="2">
        <v>45176</v>
      </c>
      <c r="B160">
        <v>256</v>
      </c>
      <c r="C160">
        <v>-181</v>
      </c>
      <c r="D160">
        <v>221</v>
      </c>
      <c r="E160">
        <v>321</v>
      </c>
      <c r="F160">
        <v>161</v>
      </c>
      <c r="G160">
        <v>1</v>
      </c>
      <c r="H160">
        <v>1</v>
      </c>
      <c r="I160">
        <v>4</v>
      </c>
      <c r="J160">
        <v>2</v>
      </c>
      <c r="K160">
        <v>3</v>
      </c>
      <c r="L160">
        <v>1956</v>
      </c>
      <c r="M160" s="23">
        <f t="shared" si="2"/>
        <v>291900</v>
      </c>
    </row>
    <row r="161" spans="1:13" x14ac:dyDescent="0.25">
      <c r="A161" s="2">
        <v>45177</v>
      </c>
      <c r="B161">
        <v>500</v>
      </c>
      <c r="C161">
        <v>781</v>
      </c>
      <c r="D161">
        <v>195</v>
      </c>
      <c r="E161">
        <v>202</v>
      </c>
      <c r="F161">
        <v>145</v>
      </c>
      <c r="G161">
        <v>1</v>
      </c>
      <c r="H161">
        <v>1</v>
      </c>
      <c r="I161">
        <v>4</v>
      </c>
      <c r="J161">
        <v>2</v>
      </c>
      <c r="K161">
        <v>3</v>
      </c>
      <c r="L161">
        <v>2772</v>
      </c>
      <c r="M161" s="23">
        <f t="shared" si="2"/>
        <v>294672</v>
      </c>
    </row>
    <row r="162" spans="1:13" x14ac:dyDescent="0.25">
      <c r="A162" s="2">
        <v>45180</v>
      </c>
      <c r="B162">
        <v>971</v>
      </c>
      <c r="C162">
        <v>1102</v>
      </c>
      <c r="D162">
        <v>250</v>
      </c>
      <c r="E162">
        <v>63</v>
      </c>
      <c r="F162">
        <v>27</v>
      </c>
      <c r="G162">
        <v>1</v>
      </c>
      <c r="H162">
        <v>1</v>
      </c>
      <c r="I162">
        <v>4</v>
      </c>
      <c r="J162">
        <v>2</v>
      </c>
      <c r="K162">
        <v>3</v>
      </c>
      <c r="L162">
        <v>3152</v>
      </c>
      <c r="M162" s="23">
        <f t="shared" si="2"/>
        <v>297824</v>
      </c>
    </row>
    <row r="163" spans="1:13" x14ac:dyDescent="0.25">
      <c r="A163" s="2">
        <v>45181</v>
      </c>
      <c r="B163">
        <v>-1038</v>
      </c>
      <c r="C163">
        <v>575</v>
      </c>
      <c r="D163">
        <v>115</v>
      </c>
      <c r="E163">
        <v>340</v>
      </c>
      <c r="F163">
        <v>233</v>
      </c>
      <c r="G163">
        <v>1</v>
      </c>
      <c r="H163">
        <v>1</v>
      </c>
      <c r="I163">
        <v>4</v>
      </c>
      <c r="J163">
        <v>2</v>
      </c>
      <c r="K163">
        <v>3</v>
      </c>
      <c r="L163">
        <v>1248</v>
      </c>
      <c r="M163" s="23">
        <f t="shared" si="2"/>
        <v>299072</v>
      </c>
    </row>
    <row r="164" spans="1:13" x14ac:dyDescent="0.25">
      <c r="A164" s="2">
        <v>45182</v>
      </c>
      <c r="B164">
        <v>439</v>
      </c>
      <c r="C164">
        <v>378</v>
      </c>
      <c r="D164">
        <v>115</v>
      </c>
      <c r="E164">
        <v>174</v>
      </c>
      <c r="F164">
        <v>-97</v>
      </c>
      <c r="G164">
        <v>1</v>
      </c>
      <c r="H164">
        <v>1</v>
      </c>
      <c r="I164">
        <v>4</v>
      </c>
      <c r="J164">
        <v>2</v>
      </c>
      <c r="K164">
        <v>3</v>
      </c>
      <c r="L164">
        <v>1206</v>
      </c>
      <c r="M164" s="23">
        <f t="shared" si="2"/>
        <v>300278</v>
      </c>
    </row>
    <row r="165" spans="1:13" x14ac:dyDescent="0.25">
      <c r="A165" s="2">
        <v>45183</v>
      </c>
      <c r="B165">
        <v>28</v>
      </c>
      <c r="C165">
        <v>573</v>
      </c>
      <c r="D165">
        <v>177</v>
      </c>
      <c r="E165">
        <v>-127</v>
      </c>
      <c r="F165">
        <v>-16</v>
      </c>
      <c r="G165">
        <v>1</v>
      </c>
      <c r="H165">
        <v>1</v>
      </c>
      <c r="I165">
        <v>4</v>
      </c>
      <c r="J165">
        <v>2</v>
      </c>
      <c r="K165">
        <v>3</v>
      </c>
      <c r="L165">
        <v>879</v>
      </c>
      <c r="M165" s="23">
        <f t="shared" si="2"/>
        <v>301157</v>
      </c>
    </row>
    <row r="166" spans="1:13" x14ac:dyDescent="0.25">
      <c r="A166" s="2">
        <v>45184</v>
      </c>
      <c r="B166">
        <v>81</v>
      </c>
      <c r="C166">
        <v>-7</v>
      </c>
      <c r="D166">
        <v>3</v>
      </c>
      <c r="E166">
        <v>52</v>
      </c>
      <c r="F166">
        <v>318</v>
      </c>
      <c r="G166">
        <v>1</v>
      </c>
      <c r="H166">
        <v>1</v>
      </c>
      <c r="I166">
        <v>4</v>
      </c>
      <c r="J166">
        <v>2</v>
      </c>
      <c r="K166">
        <v>3</v>
      </c>
      <c r="L166">
        <v>1016</v>
      </c>
      <c r="M166" s="23">
        <f t="shared" si="2"/>
        <v>302173</v>
      </c>
    </row>
    <row r="167" spans="1:13" x14ac:dyDescent="0.25">
      <c r="A167" s="2">
        <v>45187</v>
      </c>
      <c r="B167">
        <v>287</v>
      </c>
      <c r="C167">
        <v>220</v>
      </c>
      <c r="D167">
        <v>213</v>
      </c>
      <c r="E167">
        <v>179</v>
      </c>
      <c r="F167">
        <v>169</v>
      </c>
      <c r="G167">
        <v>1</v>
      </c>
      <c r="H167">
        <v>1</v>
      </c>
      <c r="I167">
        <v>4</v>
      </c>
      <c r="J167">
        <v>2</v>
      </c>
      <c r="K167">
        <v>3</v>
      </c>
      <c r="L167">
        <v>2096</v>
      </c>
      <c r="M167" s="23">
        <f t="shared" si="2"/>
        <v>304269</v>
      </c>
    </row>
    <row r="168" spans="1:13" x14ac:dyDescent="0.25">
      <c r="A168" s="2">
        <v>45188</v>
      </c>
      <c r="B168">
        <v>-293</v>
      </c>
      <c r="C168">
        <v>408</v>
      </c>
      <c r="D168">
        <v>222</v>
      </c>
      <c r="E168">
        <v>353</v>
      </c>
      <c r="F168">
        <v>229</v>
      </c>
      <c r="G168">
        <v>1</v>
      </c>
      <c r="H168">
        <v>1</v>
      </c>
      <c r="I168">
        <v>4</v>
      </c>
      <c r="J168">
        <v>2</v>
      </c>
      <c r="K168">
        <v>3</v>
      </c>
      <c r="L168">
        <v>2268</v>
      </c>
      <c r="M168" s="23">
        <f t="shared" si="2"/>
        <v>306537</v>
      </c>
    </row>
    <row r="169" spans="1:13" x14ac:dyDescent="0.25">
      <c r="A169" s="2">
        <v>45189</v>
      </c>
      <c r="B169">
        <v>509</v>
      </c>
      <c r="C169">
        <v>553</v>
      </c>
      <c r="D169">
        <v>-61</v>
      </c>
      <c r="E169">
        <v>-221</v>
      </c>
      <c r="F169">
        <v>112</v>
      </c>
      <c r="G169">
        <v>1</v>
      </c>
      <c r="H169">
        <v>1</v>
      </c>
      <c r="I169">
        <v>4</v>
      </c>
      <c r="J169">
        <v>2</v>
      </c>
      <c r="K169">
        <v>3</v>
      </c>
      <c r="L169">
        <v>584</v>
      </c>
      <c r="M169" s="23">
        <f t="shared" si="2"/>
        <v>307121</v>
      </c>
    </row>
    <row r="170" spans="1:13" x14ac:dyDescent="0.25">
      <c r="A170" s="2">
        <v>45190</v>
      </c>
      <c r="B170">
        <v>-462</v>
      </c>
      <c r="C170">
        <v>-481</v>
      </c>
      <c r="D170">
        <v>126</v>
      </c>
      <c r="E170">
        <v>202</v>
      </c>
      <c r="F170">
        <v>-61</v>
      </c>
      <c r="G170">
        <v>1</v>
      </c>
      <c r="H170">
        <v>1</v>
      </c>
      <c r="I170">
        <v>4</v>
      </c>
      <c r="J170">
        <v>2</v>
      </c>
      <c r="K170">
        <v>3</v>
      </c>
      <c r="L170">
        <v>-346</v>
      </c>
      <c r="M170" s="23">
        <f t="shared" si="2"/>
        <v>306775</v>
      </c>
    </row>
    <row r="171" spans="1:13" x14ac:dyDescent="0.25">
      <c r="A171" s="2">
        <v>45191</v>
      </c>
      <c r="B171">
        <v>295</v>
      </c>
      <c r="C171">
        <v>611</v>
      </c>
      <c r="D171">
        <v>-4</v>
      </c>
      <c r="E171">
        <v>-186</v>
      </c>
      <c r="F171">
        <v>330</v>
      </c>
      <c r="G171">
        <v>1</v>
      </c>
      <c r="H171">
        <v>1</v>
      </c>
      <c r="I171">
        <v>4</v>
      </c>
      <c r="J171">
        <v>2</v>
      </c>
      <c r="K171">
        <v>3</v>
      </c>
      <c r="L171">
        <v>1380</v>
      </c>
      <c r="M171" s="23">
        <f t="shared" si="2"/>
        <v>308155</v>
      </c>
    </row>
    <row r="172" spans="1:13" x14ac:dyDescent="0.25">
      <c r="A172" s="2">
        <v>45194</v>
      </c>
      <c r="B172">
        <v>98</v>
      </c>
      <c r="C172">
        <v>-322</v>
      </c>
      <c r="D172">
        <v>123</v>
      </c>
      <c r="E172">
        <v>-3</v>
      </c>
      <c r="F172">
        <v>-147</v>
      </c>
      <c r="G172">
        <v>1</v>
      </c>
      <c r="H172">
        <v>1</v>
      </c>
      <c r="I172">
        <v>4</v>
      </c>
      <c r="J172">
        <v>2</v>
      </c>
      <c r="K172">
        <v>3</v>
      </c>
      <c r="L172">
        <v>-307</v>
      </c>
      <c r="M172" s="23">
        <f t="shared" si="2"/>
        <v>307848</v>
      </c>
    </row>
    <row r="173" spans="1:13" x14ac:dyDescent="0.25">
      <c r="A173" s="2">
        <v>45195</v>
      </c>
      <c r="B173">
        <v>-354</v>
      </c>
      <c r="C173">
        <v>-240</v>
      </c>
      <c r="D173">
        <v>70</v>
      </c>
      <c r="E173">
        <v>334</v>
      </c>
      <c r="F173">
        <v>-303</v>
      </c>
      <c r="G173">
        <v>1</v>
      </c>
      <c r="H173">
        <v>1</v>
      </c>
      <c r="I173">
        <v>4</v>
      </c>
      <c r="J173">
        <v>2</v>
      </c>
      <c r="K173">
        <v>3</v>
      </c>
      <c r="L173">
        <v>-683</v>
      </c>
      <c r="M173" s="23">
        <f t="shared" si="2"/>
        <v>307165</v>
      </c>
    </row>
    <row r="174" spans="1:13" x14ac:dyDescent="0.25">
      <c r="A174" s="2">
        <v>45196</v>
      </c>
      <c r="B174">
        <v>391</v>
      </c>
      <c r="C174">
        <v>65</v>
      </c>
      <c r="D174">
        <v>30</v>
      </c>
      <c r="E174">
        <v>-138</v>
      </c>
      <c r="F174">
        <v>-14</v>
      </c>
      <c r="G174">
        <v>1</v>
      </c>
      <c r="H174">
        <v>1</v>
      </c>
      <c r="I174">
        <v>4</v>
      </c>
      <c r="J174">
        <v>2</v>
      </c>
      <c r="K174">
        <v>3</v>
      </c>
      <c r="L174">
        <v>130</v>
      </c>
      <c r="M174" s="23">
        <f t="shared" si="2"/>
        <v>307295</v>
      </c>
    </row>
    <row r="175" spans="1:13" x14ac:dyDescent="0.25">
      <c r="A175" s="2">
        <v>45197</v>
      </c>
      <c r="B175">
        <v>593</v>
      </c>
      <c r="C175">
        <v>822</v>
      </c>
      <c r="D175">
        <v>231</v>
      </c>
      <c r="E175">
        <v>149</v>
      </c>
      <c r="F175">
        <v>173</v>
      </c>
      <c r="G175">
        <v>1</v>
      </c>
      <c r="H175">
        <v>1</v>
      </c>
      <c r="I175">
        <v>4</v>
      </c>
      <c r="J175">
        <v>2</v>
      </c>
      <c r="K175">
        <v>3</v>
      </c>
      <c r="L175">
        <v>3028</v>
      </c>
      <c r="M175" s="23">
        <f t="shared" si="2"/>
        <v>310323</v>
      </c>
    </row>
    <row r="176" spans="1:13" x14ac:dyDescent="0.25">
      <c r="A176" s="2">
        <v>45198</v>
      </c>
      <c r="B176">
        <v>919</v>
      </c>
      <c r="C176">
        <v>1032</v>
      </c>
      <c r="D176">
        <v>117</v>
      </c>
      <c r="E176">
        <v>373</v>
      </c>
      <c r="F176">
        <v>-80</v>
      </c>
      <c r="G176">
        <v>1</v>
      </c>
      <c r="H176">
        <v>1</v>
      </c>
      <c r="I176">
        <v>4</v>
      </c>
      <c r="J176">
        <v>2</v>
      </c>
      <c r="K176">
        <v>3</v>
      </c>
      <c r="L176">
        <v>2797</v>
      </c>
      <c r="M176" s="23">
        <f t="shared" si="2"/>
        <v>313120</v>
      </c>
    </row>
    <row r="177" spans="1:13" x14ac:dyDescent="0.25">
      <c r="A177" s="2">
        <v>45201</v>
      </c>
      <c r="B177">
        <v>923</v>
      </c>
      <c r="C177">
        <v>750</v>
      </c>
      <c r="D177">
        <v>157</v>
      </c>
      <c r="E177">
        <v>189</v>
      </c>
      <c r="F177">
        <v>206</v>
      </c>
      <c r="G177">
        <v>1</v>
      </c>
      <c r="H177">
        <v>1</v>
      </c>
      <c r="I177">
        <v>4</v>
      </c>
      <c r="J177">
        <v>2</v>
      </c>
      <c r="K177">
        <v>3</v>
      </c>
      <c r="L177">
        <v>3169</v>
      </c>
      <c r="M177" s="23">
        <f t="shared" si="2"/>
        <v>316289</v>
      </c>
    </row>
    <row r="178" spans="1:13" x14ac:dyDescent="0.25">
      <c r="A178" s="2">
        <v>45202</v>
      </c>
      <c r="B178">
        <v>-162</v>
      </c>
      <c r="C178">
        <v>-353</v>
      </c>
      <c r="D178">
        <v>-106</v>
      </c>
      <c r="E178">
        <v>-181</v>
      </c>
      <c r="F178">
        <v>13</v>
      </c>
      <c r="G178">
        <v>1</v>
      </c>
      <c r="H178">
        <v>1</v>
      </c>
      <c r="I178">
        <v>4</v>
      </c>
      <c r="J178">
        <v>2</v>
      </c>
      <c r="K178">
        <v>3</v>
      </c>
      <c r="L178">
        <v>-1390</v>
      </c>
      <c r="M178" s="23">
        <f t="shared" si="2"/>
        <v>314899</v>
      </c>
    </row>
    <row r="179" spans="1:13" x14ac:dyDescent="0.25">
      <c r="A179" s="2">
        <v>45203</v>
      </c>
      <c r="B179">
        <v>-480</v>
      </c>
      <c r="C179">
        <v>-793</v>
      </c>
      <c r="D179">
        <v>121</v>
      </c>
      <c r="E179">
        <v>-30</v>
      </c>
      <c r="F179">
        <v>168</v>
      </c>
      <c r="G179">
        <v>1</v>
      </c>
      <c r="H179">
        <v>1</v>
      </c>
      <c r="I179">
        <v>4</v>
      </c>
      <c r="J179">
        <v>2</v>
      </c>
      <c r="K179">
        <v>3</v>
      </c>
      <c r="L179">
        <v>-473</v>
      </c>
      <c r="M179" s="23">
        <f t="shared" si="2"/>
        <v>314426</v>
      </c>
    </row>
    <row r="180" spans="1:13" x14ac:dyDescent="0.25">
      <c r="A180" s="2">
        <v>45204</v>
      </c>
      <c r="B180">
        <v>919</v>
      </c>
      <c r="C180">
        <v>1013</v>
      </c>
      <c r="D180">
        <v>15</v>
      </c>
      <c r="E180">
        <v>227</v>
      </c>
      <c r="F180">
        <v>-283</v>
      </c>
      <c r="G180">
        <v>1</v>
      </c>
      <c r="H180">
        <v>1</v>
      </c>
      <c r="I180">
        <v>4</v>
      </c>
      <c r="J180">
        <v>2</v>
      </c>
      <c r="K180">
        <v>3</v>
      </c>
      <c r="L180">
        <v>1469</v>
      </c>
      <c r="M180" s="23">
        <f t="shared" si="2"/>
        <v>315895</v>
      </c>
    </row>
    <row r="181" spans="1:13" x14ac:dyDescent="0.25">
      <c r="A181" s="2">
        <v>45205</v>
      </c>
      <c r="B181">
        <v>469</v>
      </c>
      <c r="C181">
        <v>522</v>
      </c>
      <c r="D181">
        <v>8</v>
      </c>
      <c r="E181">
        <v>-238</v>
      </c>
      <c r="F181">
        <v>-83</v>
      </c>
      <c r="G181">
        <v>1</v>
      </c>
      <c r="H181">
        <v>1</v>
      </c>
      <c r="I181">
        <v>4</v>
      </c>
      <c r="J181">
        <v>2</v>
      </c>
      <c r="K181">
        <v>3</v>
      </c>
      <c r="L181">
        <v>170</v>
      </c>
      <c r="M181" s="23">
        <f t="shared" si="2"/>
        <v>316065</v>
      </c>
    </row>
    <row r="182" spans="1:13" x14ac:dyDescent="0.25">
      <c r="A182" s="2">
        <v>45208</v>
      </c>
      <c r="B182">
        <v>968</v>
      </c>
      <c r="C182">
        <v>1071</v>
      </c>
      <c r="D182">
        <v>0</v>
      </c>
      <c r="E182">
        <v>250</v>
      </c>
      <c r="F182">
        <v>200</v>
      </c>
      <c r="G182">
        <v>1</v>
      </c>
      <c r="H182">
        <v>1</v>
      </c>
      <c r="I182">
        <v>4</v>
      </c>
      <c r="J182">
        <v>2</v>
      </c>
      <c r="K182">
        <v>3</v>
      </c>
      <c r="L182">
        <v>3011</v>
      </c>
      <c r="M182" s="23">
        <f t="shared" si="2"/>
        <v>319076</v>
      </c>
    </row>
    <row r="183" spans="1:13" x14ac:dyDescent="0.25">
      <c r="A183" s="2">
        <v>45209</v>
      </c>
      <c r="B183">
        <v>-867</v>
      </c>
      <c r="C183">
        <v>595</v>
      </c>
      <c r="D183">
        <v>63</v>
      </c>
      <c r="E183">
        <v>179</v>
      </c>
      <c r="F183">
        <v>-65</v>
      </c>
      <c r="G183">
        <v>1</v>
      </c>
      <c r="H183">
        <v>1</v>
      </c>
      <c r="I183">
        <v>4</v>
      </c>
      <c r="J183">
        <v>2</v>
      </c>
      <c r="K183">
        <v>3</v>
      </c>
      <c r="L183">
        <v>15</v>
      </c>
      <c r="M183" s="23">
        <f t="shared" si="2"/>
        <v>319091</v>
      </c>
    </row>
    <row r="184" spans="1:13" x14ac:dyDescent="0.25">
      <c r="A184" s="2">
        <v>45210</v>
      </c>
      <c r="B184">
        <v>552</v>
      </c>
      <c r="C184">
        <v>607</v>
      </c>
      <c r="D184">
        <v>19</v>
      </c>
      <c r="E184">
        <v>361</v>
      </c>
      <c r="F184">
        <v>148</v>
      </c>
      <c r="G184">
        <v>1</v>
      </c>
      <c r="H184">
        <v>1</v>
      </c>
      <c r="I184">
        <v>4</v>
      </c>
      <c r="J184">
        <v>2</v>
      </c>
      <c r="K184">
        <v>3</v>
      </c>
      <c r="L184">
        <v>2273</v>
      </c>
      <c r="M184" s="23">
        <f t="shared" si="2"/>
        <v>321364</v>
      </c>
    </row>
    <row r="185" spans="1:13" x14ac:dyDescent="0.25">
      <c r="A185" s="2">
        <v>45211</v>
      </c>
      <c r="B185">
        <v>-1080</v>
      </c>
      <c r="C185">
        <v>-151</v>
      </c>
      <c r="D185">
        <v>109</v>
      </c>
      <c r="E185">
        <v>179</v>
      </c>
      <c r="F185">
        <v>149</v>
      </c>
      <c r="G185">
        <v>1</v>
      </c>
      <c r="H185">
        <v>1</v>
      </c>
      <c r="I185">
        <v>4</v>
      </c>
      <c r="J185">
        <v>2</v>
      </c>
      <c r="K185">
        <v>3</v>
      </c>
      <c r="L185">
        <v>-118</v>
      </c>
      <c r="M185" s="23">
        <f t="shared" si="2"/>
        <v>321246</v>
      </c>
    </row>
    <row r="186" spans="1:13" x14ac:dyDescent="0.25">
      <c r="A186" s="2">
        <v>45212</v>
      </c>
      <c r="B186">
        <v>604</v>
      </c>
      <c r="C186">
        <v>1076</v>
      </c>
      <c r="D186">
        <v>37</v>
      </c>
      <c r="E186">
        <v>-168</v>
      </c>
      <c r="F186">
        <v>-45</v>
      </c>
      <c r="G186">
        <v>1</v>
      </c>
      <c r="H186">
        <v>1</v>
      </c>
      <c r="I186">
        <v>4</v>
      </c>
      <c r="J186">
        <v>2</v>
      </c>
      <c r="K186">
        <v>3</v>
      </c>
      <c r="L186">
        <v>1229</v>
      </c>
      <c r="M186" s="23">
        <f t="shared" si="2"/>
        <v>322475</v>
      </c>
    </row>
    <row r="187" spans="1:13" x14ac:dyDescent="0.25">
      <c r="A187" s="2">
        <v>45215</v>
      </c>
      <c r="B187">
        <v>-53</v>
      </c>
      <c r="C187">
        <v>-380</v>
      </c>
      <c r="D187">
        <v>202</v>
      </c>
      <c r="E187">
        <v>179</v>
      </c>
      <c r="F187">
        <v>-242</v>
      </c>
      <c r="G187">
        <v>1</v>
      </c>
      <c r="H187">
        <v>1</v>
      </c>
      <c r="I187">
        <v>4</v>
      </c>
      <c r="J187">
        <v>2</v>
      </c>
      <c r="K187">
        <v>3</v>
      </c>
      <c r="L187">
        <v>-121</v>
      </c>
      <c r="M187" s="23">
        <f t="shared" si="2"/>
        <v>322354</v>
      </c>
    </row>
    <row r="188" spans="1:13" x14ac:dyDescent="0.25">
      <c r="A188" s="2">
        <v>45216</v>
      </c>
      <c r="B188">
        <v>-832</v>
      </c>
      <c r="C188">
        <v>1046</v>
      </c>
      <c r="D188">
        <v>-64</v>
      </c>
      <c r="E188">
        <v>193</v>
      </c>
      <c r="F188">
        <v>142</v>
      </c>
      <c r="G188">
        <v>1</v>
      </c>
      <c r="H188">
        <v>1</v>
      </c>
      <c r="I188">
        <v>4</v>
      </c>
      <c r="J188">
        <v>2</v>
      </c>
      <c r="K188">
        <v>3</v>
      </c>
      <c r="L188">
        <v>642</v>
      </c>
      <c r="M188" s="23">
        <f t="shared" si="2"/>
        <v>322996</v>
      </c>
    </row>
    <row r="189" spans="1:13" x14ac:dyDescent="0.25">
      <c r="A189" s="2">
        <v>45217</v>
      </c>
      <c r="B189">
        <v>-67</v>
      </c>
      <c r="C189">
        <v>-478</v>
      </c>
      <c r="D189">
        <v>215</v>
      </c>
      <c r="E189">
        <v>181</v>
      </c>
      <c r="F189">
        <v>-57</v>
      </c>
      <c r="G189">
        <v>1</v>
      </c>
      <c r="H189">
        <v>1</v>
      </c>
      <c r="I189">
        <v>4</v>
      </c>
      <c r="J189">
        <v>2</v>
      </c>
      <c r="K189">
        <v>3</v>
      </c>
      <c r="L189">
        <v>378</v>
      </c>
      <c r="M189" s="23">
        <f t="shared" si="2"/>
        <v>323374</v>
      </c>
    </row>
    <row r="190" spans="1:13" x14ac:dyDescent="0.25">
      <c r="A190" s="2">
        <v>45218</v>
      </c>
      <c r="B190">
        <v>771</v>
      </c>
      <c r="C190">
        <v>129</v>
      </c>
      <c r="D190">
        <v>-51</v>
      </c>
      <c r="E190">
        <v>-88</v>
      </c>
      <c r="F190">
        <v>-44</v>
      </c>
      <c r="G190">
        <v>1</v>
      </c>
      <c r="H190">
        <v>1</v>
      </c>
      <c r="I190">
        <v>4</v>
      </c>
      <c r="J190">
        <v>2</v>
      </c>
      <c r="K190">
        <v>3</v>
      </c>
      <c r="L190">
        <v>260</v>
      </c>
      <c r="M190" s="23">
        <f t="shared" si="2"/>
        <v>323634</v>
      </c>
    </row>
    <row r="191" spans="1:13" x14ac:dyDescent="0.25">
      <c r="A191" s="2">
        <v>45219</v>
      </c>
      <c r="B191">
        <v>1033</v>
      </c>
      <c r="C191">
        <v>1106</v>
      </c>
      <c r="D191">
        <v>104</v>
      </c>
      <c r="E191">
        <v>115</v>
      </c>
      <c r="F191">
        <v>146</v>
      </c>
      <c r="G191">
        <v>1</v>
      </c>
      <c r="H191">
        <v>1</v>
      </c>
      <c r="I191">
        <v>4</v>
      </c>
      <c r="J191">
        <v>2</v>
      </c>
      <c r="K191">
        <v>3</v>
      </c>
      <c r="L191">
        <v>3095</v>
      </c>
      <c r="M191" s="23">
        <f t="shared" si="2"/>
        <v>326729</v>
      </c>
    </row>
    <row r="192" spans="1:13" x14ac:dyDescent="0.25">
      <c r="A192" s="2">
        <v>45222</v>
      </c>
      <c r="B192">
        <v>1039</v>
      </c>
      <c r="C192">
        <v>601</v>
      </c>
      <c r="D192">
        <v>108</v>
      </c>
      <c r="E192">
        <v>-106</v>
      </c>
      <c r="F192">
        <v>181</v>
      </c>
      <c r="G192">
        <v>1</v>
      </c>
      <c r="H192">
        <v>1</v>
      </c>
      <c r="I192">
        <v>4</v>
      </c>
      <c r="J192">
        <v>2</v>
      </c>
      <c r="K192">
        <v>3</v>
      </c>
      <c r="L192">
        <v>2275</v>
      </c>
      <c r="M192" s="23">
        <f t="shared" si="2"/>
        <v>329004</v>
      </c>
    </row>
    <row r="193" spans="1:13" x14ac:dyDescent="0.25">
      <c r="A193" s="2">
        <v>45223</v>
      </c>
      <c r="B193">
        <v>833</v>
      </c>
      <c r="C193">
        <v>1093</v>
      </c>
      <c r="D193">
        <v>8</v>
      </c>
      <c r="E193">
        <v>-166</v>
      </c>
      <c r="F193">
        <v>-167</v>
      </c>
      <c r="G193">
        <v>1</v>
      </c>
      <c r="H193">
        <v>1</v>
      </c>
      <c r="I193">
        <v>4</v>
      </c>
      <c r="J193">
        <v>2</v>
      </c>
      <c r="K193">
        <v>3</v>
      </c>
      <c r="L193">
        <v>997</v>
      </c>
      <c r="M193" s="23">
        <f t="shared" si="2"/>
        <v>330001</v>
      </c>
    </row>
    <row r="194" spans="1:13" x14ac:dyDescent="0.25">
      <c r="A194" s="2">
        <v>45224</v>
      </c>
      <c r="B194">
        <v>-218</v>
      </c>
      <c r="C194">
        <v>-175</v>
      </c>
      <c r="D194">
        <v>42</v>
      </c>
      <c r="E194">
        <v>290</v>
      </c>
      <c r="F194">
        <v>-105</v>
      </c>
      <c r="G194">
        <v>1</v>
      </c>
      <c r="H194">
        <v>1</v>
      </c>
      <c r="I194">
        <v>4</v>
      </c>
      <c r="J194">
        <v>2</v>
      </c>
      <c r="K194">
        <v>3</v>
      </c>
      <c r="L194">
        <v>-88</v>
      </c>
      <c r="M194" s="23">
        <f t="shared" si="2"/>
        <v>329913</v>
      </c>
    </row>
    <row r="195" spans="1:13" x14ac:dyDescent="0.25">
      <c r="A195" s="2">
        <v>45225</v>
      </c>
      <c r="B195">
        <v>346</v>
      </c>
      <c r="C195">
        <v>508</v>
      </c>
      <c r="D195">
        <v>160</v>
      </c>
      <c r="E195">
        <v>172</v>
      </c>
      <c r="F195">
        <v>-70</v>
      </c>
      <c r="G195">
        <v>1</v>
      </c>
      <c r="H195">
        <v>1</v>
      </c>
      <c r="I195">
        <v>4</v>
      </c>
      <c r="J195">
        <v>2</v>
      </c>
      <c r="K195">
        <v>3</v>
      </c>
      <c r="L195">
        <v>1500</v>
      </c>
      <c r="M195" s="23">
        <f t="shared" si="2"/>
        <v>331413</v>
      </c>
    </row>
    <row r="196" spans="1:13" x14ac:dyDescent="0.25">
      <c r="A196" s="2">
        <v>45226</v>
      </c>
      <c r="B196">
        <v>411</v>
      </c>
      <c r="C196">
        <v>317</v>
      </c>
      <c r="D196">
        <v>145</v>
      </c>
      <c r="E196">
        <v>75</v>
      </c>
      <c r="F196">
        <v>267</v>
      </c>
      <c r="G196">
        <v>1</v>
      </c>
      <c r="H196">
        <v>1</v>
      </c>
      <c r="I196">
        <v>4</v>
      </c>
      <c r="J196">
        <v>2</v>
      </c>
      <c r="K196">
        <v>3</v>
      </c>
      <c r="L196">
        <v>2131</v>
      </c>
      <c r="M196" s="23">
        <f t="shared" ref="M196:M259" si="3">M195+L196</f>
        <v>333544</v>
      </c>
    </row>
    <row r="197" spans="1:13" x14ac:dyDescent="0.25">
      <c r="A197" s="2">
        <v>45229</v>
      </c>
      <c r="B197">
        <v>494</v>
      </c>
      <c r="C197">
        <v>546</v>
      </c>
      <c r="D197">
        <v>26</v>
      </c>
      <c r="E197">
        <v>12</v>
      </c>
      <c r="F197">
        <v>-19</v>
      </c>
      <c r="G197">
        <v>1</v>
      </c>
      <c r="H197">
        <v>1</v>
      </c>
      <c r="I197">
        <v>4</v>
      </c>
      <c r="J197">
        <v>2</v>
      </c>
      <c r="K197">
        <v>3</v>
      </c>
      <c r="L197">
        <v>983</v>
      </c>
      <c r="M197" s="23">
        <f t="shared" si="3"/>
        <v>334527</v>
      </c>
    </row>
    <row r="198" spans="1:13" x14ac:dyDescent="0.25">
      <c r="A198" s="2">
        <v>45230</v>
      </c>
      <c r="B198">
        <v>500</v>
      </c>
      <c r="C198">
        <v>-857</v>
      </c>
      <c r="D198">
        <v>-75</v>
      </c>
      <c r="E198">
        <v>140</v>
      </c>
      <c r="F198">
        <v>230</v>
      </c>
      <c r="G198">
        <v>1</v>
      </c>
      <c r="H198">
        <v>1</v>
      </c>
      <c r="I198">
        <v>4</v>
      </c>
      <c r="J198">
        <v>2</v>
      </c>
      <c r="K198">
        <v>3</v>
      </c>
      <c r="L198">
        <v>185</v>
      </c>
      <c r="M198" s="23">
        <f t="shared" si="3"/>
        <v>334712</v>
      </c>
    </row>
    <row r="199" spans="1:13" x14ac:dyDescent="0.25">
      <c r="A199" s="2">
        <v>45231</v>
      </c>
      <c r="B199">
        <v>522</v>
      </c>
      <c r="C199">
        <v>559</v>
      </c>
      <c r="D199">
        <v>187</v>
      </c>
      <c r="E199">
        <v>-128</v>
      </c>
      <c r="F199">
        <v>-225</v>
      </c>
      <c r="G199">
        <v>1</v>
      </c>
      <c r="H199">
        <v>1</v>
      </c>
      <c r="I199">
        <v>4</v>
      </c>
      <c r="J199">
        <v>2</v>
      </c>
      <c r="K199">
        <v>3</v>
      </c>
      <c r="L199">
        <v>770</v>
      </c>
      <c r="M199" s="23">
        <f t="shared" si="3"/>
        <v>335482</v>
      </c>
    </row>
    <row r="200" spans="1:13" x14ac:dyDescent="0.25">
      <c r="A200" s="2">
        <v>45232</v>
      </c>
      <c r="B200">
        <v>-317</v>
      </c>
      <c r="C200">
        <v>-631</v>
      </c>
      <c r="D200">
        <v>92</v>
      </c>
      <c r="E200">
        <v>165</v>
      </c>
      <c r="F200">
        <v>266</v>
      </c>
      <c r="G200">
        <v>1</v>
      </c>
      <c r="H200">
        <v>1</v>
      </c>
      <c r="I200">
        <v>4</v>
      </c>
      <c r="J200">
        <v>2</v>
      </c>
      <c r="K200">
        <v>3</v>
      </c>
      <c r="L200">
        <v>420</v>
      </c>
      <c r="M200" s="23">
        <f t="shared" si="3"/>
        <v>335902</v>
      </c>
    </row>
    <row r="201" spans="1:13" x14ac:dyDescent="0.25">
      <c r="A201" s="2">
        <v>45233</v>
      </c>
      <c r="B201">
        <v>497</v>
      </c>
      <c r="C201">
        <v>554</v>
      </c>
      <c r="D201">
        <v>-44</v>
      </c>
      <c r="E201">
        <v>48</v>
      </c>
      <c r="F201">
        <v>277</v>
      </c>
      <c r="G201">
        <v>1</v>
      </c>
      <c r="H201">
        <v>1</v>
      </c>
      <c r="I201">
        <v>4</v>
      </c>
      <c r="J201">
        <v>2</v>
      </c>
      <c r="K201">
        <v>3</v>
      </c>
      <c r="L201">
        <v>1674</v>
      </c>
      <c r="M201" s="23">
        <f t="shared" si="3"/>
        <v>337576</v>
      </c>
    </row>
    <row r="202" spans="1:13" x14ac:dyDescent="0.25">
      <c r="A202" s="2">
        <v>45236</v>
      </c>
      <c r="B202">
        <v>99</v>
      </c>
      <c r="C202">
        <v>154</v>
      </c>
      <c r="D202">
        <v>-15</v>
      </c>
      <c r="E202">
        <v>156</v>
      </c>
      <c r="F202">
        <v>112</v>
      </c>
      <c r="G202">
        <v>1</v>
      </c>
      <c r="H202">
        <v>1</v>
      </c>
      <c r="I202">
        <v>4</v>
      </c>
      <c r="J202">
        <v>2</v>
      </c>
      <c r="K202">
        <v>3</v>
      </c>
      <c r="L202">
        <v>713</v>
      </c>
      <c r="M202" s="23">
        <f t="shared" si="3"/>
        <v>338289</v>
      </c>
    </row>
    <row r="203" spans="1:13" x14ac:dyDescent="0.25">
      <c r="A203" s="2">
        <v>45237</v>
      </c>
      <c r="B203">
        <v>-261</v>
      </c>
      <c r="C203">
        <v>15</v>
      </c>
      <c r="D203">
        <v>92</v>
      </c>
      <c r="E203">
        <v>-2</v>
      </c>
      <c r="F203">
        <v>83</v>
      </c>
      <c r="G203">
        <v>1</v>
      </c>
      <c r="H203">
        <v>1</v>
      </c>
      <c r="I203">
        <v>4</v>
      </c>
      <c r="J203">
        <v>2</v>
      </c>
      <c r="K203">
        <v>3</v>
      </c>
      <c r="L203">
        <v>239</v>
      </c>
      <c r="M203" s="23">
        <f t="shared" si="3"/>
        <v>338528</v>
      </c>
    </row>
    <row r="204" spans="1:13" x14ac:dyDescent="0.25">
      <c r="A204" s="2">
        <v>45238</v>
      </c>
      <c r="B204">
        <v>460</v>
      </c>
      <c r="C204">
        <v>509</v>
      </c>
      <c r="D204">
        <v>5</v>
      </c>
      <c r="E204">
        <v>154</v>
      </c>
      <c r="F204">
        <v>149</v>
      </c>
      <c r="G204">
        <v>1</v>
      </c>
      <c r="H204">
        <v>1</v>
      </c>
      <c r="I204">
        <v>4</v>
      </c>
      <c r="J204">
        <v>2</v>
      </c>
      <c r="K204">
        <v>3</v>
      </c>
      <c r="L204">
        <v>1616</v>
      </c>
      <c r="M204" s="23">
        <f t="shared" si="3"/>
        <v>340144</v>
      </c>
    </row>
    <row r="205" spans="1:13" x14ac:dyDescent="0.25">
      <c r="A205" s="2">
        <v>45239</v>
      </c>
      <c r="B205">
        <v>-233</v>
      </c>
      <c r="C205">
        <v>85</v>
      </c>
      <c r="D205">
        <v>45</v>
      </c>
      <c r="E205">
        <v>156</v>
      </c>
      <c r="F205">
        <v>-83</v>
      </c>
      <c r="G205">
        <v>1</v>
      </c>
      <c r="H205">
        <v>1</v>
      </c>
      <c r="I205">
        <v>4</v>
      </c>
      <c r="J205">
        <v>2</v>
      </c>
      <c r="K205">
        <v>3</v>
      </c>
      <c r="L205">
        <v>-33</v>
      </c>
      <c r="M205" s="23">
        <f t="shared" si="3"/>
        <v>340111</v>
      </c>
    </row>
    <row r="206" spans="1:13" x14ac:dyDescent="0.25">
      <c r="A206" s="2">
        <v>45240</v>
      </c>
      <c r="B206">
        <v>461</v>
      </c>
      <c r="C206">
        <v>-637</v>
      </c>
      <c r="D206">
        <v>28</v>
      </c>
      <c r="E206">
        <v>151</v>
      </c>
      <c r="F206">
        <v>290</v>
      </c>
      <c r="G206">
        <v>1</v>
      </c>
      <c r="H206">
        <v>1</v>
      </c>
      <c r="I206">
        <v>4</v>
      </c>
      <c r="J206">
        <v>2</v>
      </c>
      <c r="K206">
        <v>3</v>
      </c>
      <c r="L206">
        <v>980</v>
      </c>
      <c r="M206" s="23">
        <f t="shared" si="3"/>
        <v>341091</v>
      </c>
    </row>
    <row r="207" spans="1:13" x14ac:dyDescent="0.25">
      <c r="A207" s="2">
        <v>45243</v>
      </c>
      <c r="B207">
        <v>421</v>
      </c>
      <c r="C207">
        <v>460</v>
      </c>
      <c r="D207">
        <v>42</v>
      </c>
      <c r="E207">
        <v>303</v>
      </c>
      <c r="F207">
        <v>152</v>
      </c>
      <c r="G207">
        <v>1</v>
      </c>
      <c r="H207">
        <v>1</v>
      </c>
      <c r="I207">
        <v>4</v>
      </c>
      <c r="J207">
        <v>2</v>
      </c>
      <c r="K207">
        <v>3</v>
      </c>
      <c r="L207">
        <v>1983</v>
      </c>
      <c r="M207" s="23">
        <f t="shared" si="3"/>
        <v>343074</v>
      </c>
    </row>
    <row r="208" spans="1:13" x14ac:dyDescent="0.25">
      <c r="A208" s="2">
        <v>45244</v>
      </c>
      <c r="B208">
        <v>842</v>
      </c>
      <c r="C208">
        <v>-159</v>
      </c>
      <c r="D208">
        <v>127</v>
      </c>
      <c r="E208">
        <v>152</v>
      </c>
      <c r="F208">
        <v>341</v>
      </c>
      <c r="G208">
        <v>1</v>
      </c>
      <c r="H208">
        <v>1</v>
      </c>
      <c r="I208">
        <v>4</v>
      </c>
      <c r="J208">
        <v>2</v>
      </c>
      <c r="K208">
        <v>3</v>
      </c>
      <c r="L208">
        <v>2390</v>
      </c>
      <c r="M208" s="23">
        <f t="shared" si="3"/>
        <v>345464</v>
      </c>
    </row>
    <row r="209" spans="1:13" x14ac:dyDescent="0.25">
      <c r="A209" s="2">
        <v>45245</v>
      </c>
      <c r="B209">
        <v>841</v>
      </c>
      <c r="C209">
        <v>455</v>
      </c>
      <c r="D209">
        <v>-84</v>
      </c>
      <c r="E209">
        <v>-220</v>
      </c>
      <c r="F209">
        <v>171</v>
      </c>
      <c r="G209">
        <v>1</v>
      </c>
      <c r="H209">
        <v>1</v>
      </c>
      <c r="I209">
        <v>4</v>
      </c>
      <c r="J209">
        <v>2</v>
      </c>
      <c r="K209">
        <v>3</v>
      </c>
      <c r="L209">
        <v>905</v>
      </c>
      <c r="M209" s="23">
        <f t="shared" si="3"/>
        <v>346369</v>
      </c>
    </row>
    <row r="210" spans="1:13" x14ac:dyDescent="0.25">
      <c r="A210" s="2">
        <v>45246</v>
      </c>
      <c r="B210">
        <v>-176</v>
      </c>
      <c r="C210">
        <v>-516</v>
      </c>
      <c r="D210">
        <v>83</v>
      </c>
      <c r="E210">
        <v>153</v>
      </c>
      <c r="F210">
        <v>-9</v>
      </c>
      <c r="G210">
        <v>1</v>
      </c>
      <c r="H210">
        <v>1</v>
      </c>
      <c r="I210">
        <v>4</v>
      </c>
      <c r="J210">
        <v>2</v>
      </c>
      <c r="K210">
        <v>3</v>
      </c>
      <c r="L210">
        <v>-209</v>
      </c>
      <c r="M210" s="23">
        <f t="shared" si="3"/>
        <v>346160</v>
      </c>
    </row>
    <row r="211" spans="1:13" x14ac:dyDescent="0.25">
      <c r="A211" s="2">
        <v>45247</v>
      </c>
      <c r="B211">
        <v>654</v>
      </c>
      <c r="C211">
        <v>930</v>
      </c>
      <c r="D211">
        <v>88</v>
      </c>
      <c r="E211">
        <v>-89</v>
      </c>
      <c r="F211">
        <v>-44</v>
      </c>
      <c r="G211">
        <v>1</v>
      </c>
      <c r="H211">
        <v>1</v>
      </c>
      <c r="I211">
        <v>4</v>
      </c>
      <c r="J211">
        <v>2</v>
      </c>
      <c r="K211">
        <v>3</v>
      </c>
      <c r="L211">
        <v>1498</v>
      </c>
      <c r="M211" s="23">
        <f t="shared" si="3"/>
        <v>347658</v>
      </c>
    </row>
    <row r="212" spans="1:13" x14ac:dyDescent="0.25">
      <c r="A212" s="2">
        <v>45250</v>
      </c>
      <c r="B212">
        <v>427</v>
      </c>
      <c r="C212">
        <v>474</v>
      </c>
      <c r="D212">
        <v>-51</v>
      </c>
      <c r="E212">
        <v>121</v>
      </c>
      <c r="F212">
        <v>30</v>
      </c>
      <c r="G212">
        <v>1</v>
      </c>
      <c r="H212">
        <v>1</v>
      </c>
      <c r="I212">
        <v>4</v>
      </c>
      <c r="J212">
        <v>2</v>
      </c>
      <c r="K212">
        <v>3</v>
      </c>
      <c r="L212">
        <v>901</v>
      </c>
      <c r="M212" s="23">
        <f t="shared" si="3"/>
        <v>348559</v>
      </c>
    </row>
    <row r="213" spans="1:13" x14ac:dyDescent="0.25">
      <c r="A213" s="2">
        <v>45251</v>
      </c>
      <c r="B213">
        <v>-125</v>
      </c>
      <c r="C213">
        <v>-22</v>
      </c>
      <c r="D213">
        <v>-64</v>
      </c>
      <c r="E213">
        <v>4</v>
      </c>
      <c r="F213">
        <v>164</v>
      </c>
      <c r="G213">
        <v>1</v>
      </c>
      <c r="H213">
        <v>1</v>
      </c>
      <c r="I213">
        <v>4</v>
      </c>
      <c r="J213">
        <v>2</v>
      </c>
      <c r="K213">
        <v>3</v>
      </c>
      <c r="L213">
        <v>-31</v>
      </c>
      <c r="M213" s="23">
        <f t="shared" si="3"/>
        <v>348528</v>
      </c>
    </row>
    <row r="214" spans="1:13" x14ac:dyDescent="0.25">
      <c r="A214" s="2">
        <v>45252</v>
      </c>
      <c r="B214">
        <v>-107</v>
      </c>
      <c r="C214">
        <v>-52</v>
      </c>
      <c r="D214">
        <v>-25</v>
      </c>
      <c r="E214">
        <v>144</v>
      </c>
      <c r="F214">
        <v>123</v>
      </c>
      <c r="G214">
        <v>1</v>
      </c>
      <c r="H214">
        <v>1</v>
      </c>
      <c r="I214">
        <v>4</v>
      </c>
      <c r="J214">
        <v>2</v>
      </c>
      <c r="K214">
        <v>3</v>
      </c>
      <c r="L214">
        <v>270</v>
      </c>
      <c r="M214" s="23">
        <f t="shared" si="3"/>
        <v>348798</v>
      </c>
    </row>
    <row r="215" spans="1:13" x14ac:dyDescent="0.25">
      <c r="A215" s="2">
        <v>45253</v>
      </c>
      <c r="B215">
        <v>305</v>
      </c>
      <c r="C215">
        <v>305</v>
      </c>
      <c r="D215">
        <v>78</v>
      </c>
      <c r="E215">
        <v>-45</v>
      </c>
      <c r="F215">
        <v>-153</v>
      </c>
      <c r="G215">
        <v>1</v>
      </c>
      <c r="H215">
        <v>1</v>
      </c>
      <c r="I215">
        <v>4</v>
      </c>
      <c r="J215">
        <v>2</v>
      </c>
      <c r="K215">
        <v>3</v>
      </c>
      <c r="L215">
        <v>245</v>
      </c>
      <c r="M215" s="23">
        <f t="shared" si="3"/>
        <v>349043</v>
      </c>
    </row>
    <row r="216" spans="1:13" x14ac:dyDescent="0.25">
      <c r="A216" s="2">
        <v>45254</v>
      </c>
      <c r="B216">
        <v>-85</v>
      </c>
      <c r="C216">
        <v>258</v>
      </c>
      <c r="D216">
        <v>-4</v>
      </c>
      <c r="E216">
        <v>-21</v>
      </c>
      <c r="F216">
        <v>-9</v>
      </c>
      <c r="G216">
        <v>1</v>
      </c>
      <c r="H216">
        <v>1</v>
      </c>
      <c r="I216">
        <v>4</v>
      </c>
      <c r="J216">
        <v>2</v>
      </c>
      <c r="K216">
        <v>3</v>
      </c>
      <c r="L216">
        <v>-40</v>
      </c>
      <c r="M216" s="23">
        <f t="shared" si="3"/>
        <v>349003</v>
      </c>
    </row>
    <row r="217" spans="1:13" x14ac:dyDescent="0.25">
      <c r="A217" s="2">
        <v>45257</v>
      </c>
      <c r="B217">
        <v>111</v>
      </c>
      <c r="C217">
        <v>203</v>
      </c>
      <c r="D217">
        <v>74</v>
      </c>
      <c r="E217">
        <v>137</v>
      </c>
      <c r="F217">
        <v>-187</v>
      </c>
      <c r="G217">
        <v>1</v>
      </c>
      <c r="H217">
        <v>1</v>
      </c>
      <c r="I217">
        <v>4</v>
      </c>
      <c r="J217">
        <v>2</v>
      </c>
      <c r="K217">
        <v>3</v>
      </c>
      <c r="L217">
        <v>195</v>
      </c>
      <c r="M217" s="23">
        <f t="shared" si="3"/>
        <v>349198</v>
      </c>
    </row>
    <row r="218" spans="1:13" x14ac:dyDescent="0.25">
      <c r="A218" s="2">
        <v>45258</v>
      </c>
      <c r="B218">
        <v>434</v>
      </c>
      <c r="C218">
        <v>836</v>
      </c>
      <c r="D218">
        <v>-130</v>
      </c>
      <c r="E218">
        <v>231</v>
      </c>
      <c r="F218">
        <v>151</v>
      </c>
      <c r="G218">
        <v>1</v>
      </c>
      <c r="H218">
        <v>1</v>
      </c>
      <c r="I218">
        <v>4</v>
      </c>
      <c r="J218">
        <v>2</v>
      </c>
      <c r="K218">
        <v>3</v>
      </c>
      <c r="L218">
        <v>1537</v>
      </c>
      <c r="M218" s="23">
        <f t="shared" si="3"/>
        <v>350735</v>
      </c>
    </row>
    <row r="219" spans="1:13" x14ac:dyDescent="0.25">
      <c r="A219" s="2">
        <v>45259</v>
      </c>
      <c r="B219">
        <v>404</v>
      </c>
      <c r="C219">
        <v>447</v>
      </c>
      <c r="D219">
        <v>81</v>
      </c>
      <c r="E219">
        <v>260</v>
      </c>
      <c r="F219">
        <v>62</v>
      </c>
      <c r="G219">
        <v>1</v>
      </c>
      <c r="H219">
        <v>1</v>
      </c>
      <c r="I219">
        <v>4</v>
      </c>
      <c r="J219">
        <v>2</v>
      </c>
      <c r="K219">
        <v>3</v>
      </c>
      <c r="L219">
        <v>1753</v>
      </c>
      <c r="M219" s="23">
        <f t="shared" si="3"/>
        <v>352488</v>
      </c>
    </row>
    <row r="220" spans="1:13" x14ac:dyDescent="0.25">
      <c r="A220" s="2">
        <v>45260</v>
      </c>
      <c r="B220">
        <v>-786</v>
      </c>
      <c r="C220">
        <v>-187</v>
      </c>
      <c r="D220">
        <v>0</v>
      </c>
      <c r="E220">
        <v>-103</v>
      </c>
      <c r="F220">
        <v>184</v>
      </c>
      <c r="G220">
        <v>1</v>
      </c>
      <c r="H220">
        <v>1</v>
      </c>
      <c r="I220">
        <v>4</v>
      </c>
      <c r="J220">
        <v>2</v>
      </c>
      <c r="K220">
        <v>3</v>
      </c>
      <c r="L220">
        <v>-755</v>
      </c>
      <c r="M220" s="23">
        <f t="shared" si="3"/>
        <v>351733</v>
      </c>
    </row>
    <row r="221" spans="1:13" x14ac:dyDescent="0.25">
      <c r="A221" s="2">
        <v>45261</v>
      </c>
      <c r="B221">
        <v>806</v>
      </c>
      <c r="C221">
        <v>598</v>
      </c>
      <c r="D221">
        <v>78</v>
      </c>
      <c r="E221">
        <v>158</v>
      </c>
      <c r="F221">
        <v>-33</v>
      </c>
      <c r="G221">
        <v>1</v>
      </c>
      <c r="H221">
        <v>1</v>
      </c>
      <c r="I221">
        <v>4</v>
      </c>
      <c r="J221">
        <v>2</v>
      </c>
      <c r="K221">
        <v>3</v>
      </c>
      <c r="L221">
        <v>1805</v>
      </c>
      <c r="M221" s="23">
        <f t="shared" si="3"/>
        <v>353538</v>
      </c>
    </row>
    <row r="222" spans="1:13" x14ac:dyDescent="0.25">
      <c r="A222" s="2">
        <v>45264</v>
      </c>
      <c r="B222">
        <v>594</v>
      </c>
      <c r="C222">
        <v>376</v>
      </c>
      <c r="D222">
        <v>163</v>
      </c>
      <c r="E222">
        <v>128</v>
      </c>
      <c r="F222">
        <v>-152</v>
      </c>
      <c r="G222">
        <v>1</v>
      </c>
      <c r="H222">
        <v>1</v>
      </c>
      <c r="I222">
        <v>4</v>
      </c>
      <c r="J222">
        <v>2</v>
      </c>
      <c r="K222">
        <v>3</v>
      </c>
      <c r="L222">
        <v>1294</v>
      </c>
      <c r="M222" s="23">
        <f t="shared" si="3"/>
        <v>354832</v>
      </c>
    </row>
    <row r="223" spans="1:13" x14ac:dyDescent="0.25">
      <c r="A223" s="2">
        <v>45265</v>
      </c>
      <c r="B223">
        <v>796</v>
      </c>
      <c r="C223">
        <v>836</v>
      </c>
      <c r="D223">
        <v>-19</v>
      </c>
      <c r="E223">
        <v>158</v>
      </c>
      <c r="F223">
        <v>183</v>
      </c>
      <c r="G223">
        <v>1</v>
      </c>
      <c r="H223">
        <v>1</v>
      </c>
      <c r="I223">
        <v>4</v>
      </c>
      <c r="J223">
        <v>2</v>
      </c>
      <c r="K223">
        <v>3</v>
      </c>
      <c r="L223">
        <v>2293</v>
      </c>
      <c r="M223" s="23">
        <f t="shared" si="3"/>
        <v>357125</v>
      </c>
    </row>
    <row r="224" spans="1:13" x14ac:dyDescent="0.25">
      <c r="A224" s="2">
        <v>45266</v>
      </c>
      <c r="B224">
        <v>278</v>
      </c>
      <c r="C224">
        <v>-1</v>
      </c>
      <c r="D224">
        <v>83</v>
      </c>
      <c r="E224">
        <v>169</v>
      </c>
      <c r="F224">
        <v>155</v>
      </c>
      <c r="G224">
        <v>1</v>
      </c>
      <c r="H224">
        <v>1</v>
      </c>
      <c r="I224">
        <v>4</v>
      </c>
      <c r="J224">
        <v>2</v>
      </c>
      <c r="K224">
        <v>3</v>
      </c>
      <c r="L224">
        <v>1284</v>
      </c>
      <c r="M224" s="23">
        <f t="shared" si="3"/>
        <v>358409</v>
      </c>
    </row>
    <row r="225" spans="1:13" x14ac:dyDescent="0.25">
      <c r="A225" s="2">
        <v>45267</v>
      </c>
      <c r="B225">
        <v>419</v>
      </c>
      <c r="C225">
        <v>880</v>
      </c>
      <c r="D225">
        <v>85</v>
      </c>
      <c r="E225">
        <v>287</v>
      </c>
      <c r="F225">
        <v>145</v>
      </c>
      <c r="G225">
        <v>1</v>
      </c>
      <c r="H225">
        <v>1</v>
      </c>
      <c r="I225">
        <v>4</v>
      </c>
      <c r="J225">
        <v>2</v>
      </c>
      <c r="K225">
        <v>3</v>
      </c>
      <c r="L225">
        <v>2520</v>
      </c>
      <c r="M225" s="23">
        <f t="shared" si="3"/>
        <v>360929</v>
      </c>
    </row>
    <row r="226" spans="1:13" x14ac:dyDescent="0.25">
      <c r="A226" s="2">
        <v>45268</v>
      </c>
      <c r="B226">
        <v>240</v>
      </c>
      <c r="C226">
        <v>416</v>
      </c>
      <c r="D226">
        <v>97</v>
      </c>
      <c r="E226">
        <v>93</v>
      </c>
      <c r="F226">
        <v>-110</v>
      </c>
      <c r="G226">
        <v>1</v>
      </c>
      <c r="H226">
        <v>1</v>
      </c>
      <c r="I226">
        <v>4</v>
      </c>
      <c r="J226">
        <v>2</v>
      </c>
      <c r="K226">
        <v>3</v>
      </c>
      <c r="L226">
        <v>772</v>
      </c>
      <c r="M226" s="23">
        <f t="shared" si="3"/>
        <v>361701</v>
      </c>
    </row>
    <row r="227" spans="1:13" x14ac:dyDescent="0.25">
      <c r="A227" s="2">
        <v>45271</v>
      </c>
      <c r="B227">
        <v>869</v>
      </c>
      <c r="C227">
        <v>905</v>
      </c>
      <c r="D227">
        <v>99</v>
      </c>
      <c r="E227">
        <v>385</v>
      </c>
      <c r="F227">
        <v>157</v>
      </c>
      <c r="G227">
        <v>1</v>
      </c>
      <c r="H227">
        <v>1</v>
      </c>
      <c r="I227">
        <v>4</v>
      </c>
      <c r="J227">
        <v>2</v>
      </c>
      <c r="K227">
        <v>3</v>
      </c>
      <c r="L227">
        <v>3283</v>
      </c>
      <c r="M227" s="23">
        <f t="shared" si="3"/>
        <v>364984</v>
      </c>
    </row>
    <row r="228" spans="1:13" x14ac:dyDescent="0.25">
      <c r="A228" s="2">
        <v>45272</v>
      </c>
      <c r="B228">
        <v>522</v>
      </c>
      <c r="C228">
        <v>369</v>
      </c>
      <c r="D228">
        <v>112</v>
      </c>
      <c r="E228">
        <v>-60</v>
      </c>
      <c r="F228">
        <v>374</v>
      </c>
      <c r="G228">
        <v>1</v>
      </c>
      <c r="H228">
        <v>1</v>
      </c>
      <c r="I228">
        <v>4</v>
      </c>
      <c r="J228">
        <v>2</v>
      </c>
      <c r="K228">
        <v>3</v>
      </c>
      <c r="L228">
        <v>2213</v>
      </c>
      <c r="M228" s="23">
        <f t="shared" si="3"/>
        <v>367197</v>
      </c>
    </row>
    <row r="229" spans="1:13" x14ac:dyDescent="0.25">
      <c r="A229" s="2">
        <v>45273</v>
      </c>
      <c r="B229">
        <v>234</v>
      </c>
      <c r="C229">
        <v>-487</v>
      </c>
      <c r="D229">
        <v>-181</v>
      </c>
      <c r="E229">
        <v>302</v>
      </c>
      <c r="F229">
        <v>-178</v>
      </c>
      <c r="G229">
        <v>1</v>
      </c>
      <c r="H229">
        <v>1</v>
      </c>
      <c r="I229">
        <v>4</v>
      </c>
      <c r="J229">
        <v>2</v>
      </c>
      <c r="K229">
        <v>3</v>
      </c>
      <c r="L229">
        <v>-1035</v>
      </c>
      <c r="M229" s="23">
        <f t="shared" si="3"/>
        <v>366162</v>
      </c>
    </row>
    <row r="230" spans="1:13" x14ac:dyDescent="0.25">
      <c r="A230" s="2">
        <v>45274</v>
      </c>
      <c r="B230">
        <v>418</v>
      </c>
      <c r="C230">
        <v>880</v>
      </c>
      <c r="D230">
        <v>113</v>
      </c>
      <c r="E230">
        <v>206</v>
      </c>
      <c r="F230">
        <v>370</v>
      </c>
      <c r="G230">
        <v>1</v>
      </c>
      <c r="H230">
        <v>1</v>
      </c>
      <c r="I230">
        <v>4</v>
      </c>
      <c r="J230">
        <v>2</v>
      </c>
      <c r="K230">
        <v>3</v>
      </c>
      <c r="L230">
        <v>3144</v>
      </c>
      <c r="M230" s="23">
        <f t="shared" si="3"/>
        <v>369306</v>
      </c>
    </row>
    <row r="231" spans="1:13" x14ac:dyDescent="0.25">
      <c r="A231" s="2">
        <v>45275</v>
      </c>
      <c r="B231">
        <v>338</v>
      </c>
      <c r="C231">
        <v>-327</v>
      </c>
      <c r="D231">
        <v>-174</v>
      </c>
      <c r="E231">
        <v>209</v>
      </c>
      <c r="F231">
        <v>242</v>
      </c>
      <c r="G231">
        <v>1</v>
      </c>
      <c r="H231">
        <v>1</v>
      </c>
      <c r="I231">
        <v>4</v>
      </c>
      <c r="J231">
        <v>2</v>
      </c>
      <c r="K231">
        <v>3</v>
      </c>
      <c r="L231">
        <v>331</v>
      </c>
      <c r="M231" s="23">
        <f t="shared" si="3"/>
        <v>369637</v>
      </c>
    </row>
    <row r="232" spans="1:13" x14ac:dyDescent="0.25">
      <c r="A232" s="2">
        <v>45278</v>
      </c>
      <c r="B232">
        <v>419</v>
      </c>
      <c r="C232">
        <v>611</v>
      </c>
      <c r="D232">
        <v>232</v>
      </c>
      <c r="E232">
        <v>-30</v>
      </c>
      <c r="F232">
        <v>371</v>
      </c>
      <c r="G232">
        <v>1</v>
      </c>
      <c r="H232">
        <v>1</v>
      </c>
      <c r="I232">
        <v>4</v>
      </c>
      <c r="J232">
        <v>2</v>
      </c>
      <c r="K232">
        <v>3</v>
      </c>
      <c r="L232">
        <v>2883</v>
      </c>
      <c r="M232" s="23">
        <f t="shared" si="3"/>
        <v>372520</v>
      </c>
    </row>
    <row r="233" spans="1:13" x14ac:dyDescent="0.25">
      <c r="A233" s="2">
        <v>45279</v>
      </c>
      <c r="B233">
        <v>-706</v>
      </c>
      <c r="C233">
        <v>448</v>
      </c>
      <c r="D233">
        <v>116</v>
      </c>
      <c r="E233">
        <v>85</v>
      </c>
      <c r="F233">
        <v>192</v>
      </c>
      <c r="G233">
        <v>1</v>
      </c>
      <c r="H233">
        <v>1</v>
      </c>
      <c r="I233">
        <v>4</v>
      </c>
      <c r="J233">
        <v>2</v>
      </c>
      <c r="K233">
        <v>3</v>
      </c>
      <c r="L233">
        <v>824</v>
      </c>
      <c r="M233" s="23">
        <f t="shared" si="3"/>
        <v>373344</v>
      </c>
    </row>
    <row r="234" spans="1:13" x14ac:dyDescent="0.25">
      <c r="A234" s="2">
        <v>45280</v>
      </c>
      <c r="B234">
        <v>576</v>
      </c>
      <c r="C234">
        <v>655</v>
      </c>
      <c r="D234">
        <v>120</v>
      </c>
      <c r="E234">
        <v>36</v>
      </c>
      <c r="F234">
        <v>14</v>
      </c>
      <c r="G234">
        <v>1</v>
      </c>
      <c r="H234">
        <v>1</v>
      </c>
      <c r="I234">
        <v>4</v>
      </c>
      <c r="J234">
        <v>2</v>
      </c>
      <c r="K234">
        <v>3</v>
      </c>
      <c r="L234">
        <v>1697</v>
      </c>
      <c r="M234" s="23">
        <f t="shared" si="3"/>
        <v>375041</v>
      </c>
    </row>
    <row r="235" spans="1:13" x14ac:dyDescent="0.25">
      <c r="A235" s="2">
        <v>45281</v>
      </c>
      <c r="B235">
        <v>410</v>
      </c>
      <c r="C235">
        <v>900</v>
      </c>
      <c r="D235">
        <v>254</v>
      </c>
      <c r="E235">
        <v>183</v>
      </c>
      <c r="F235">
        <v>415</v>
      </c>
      <c r="G235">
        <v>1</v>
      </c>
      <c r="H235">
        <v>1</v>
      </c>
      <c r="I235">
        <v>4</v>
      </c>
      <c r="J235">
        <v>2</v>
      </c>
      <c r="K235">
        <v>3</v>
      </c>
      <c r="L235">
        <v>3809</v>
      </c>
      <c r="M235" s="23">
        <f t="shared" si="3"/>
        <v>378850</v>
      </c>
    </row>
    <row r="236" spans="1:13" x14ac:dyDescent="0.25">
      <c r="A236" s="2">
        <v>45282</v>
      </c>
      <c r="B236">
        <v>-147</v>
      </c>
      <c r="C236">
        <v>102</v>
      </c>
      <c r="D236">
        <v>-31</v>
      </c>
      <c r="E236">
        <v>235</v>
      </c>
      <c r="F236">
        <v>-7</v>
      </c>
      <c r="G236">
        <v>1</v>
      </c>
      <c r="H236">
        <v>1</v>
      </c>
      <c r="I236">
        <v>4</v>
      </c>
      <c r="J236">
        <v>2</v>
      </c>
      <c r="K236">
        <v>3</v>
      </c>
      <c r="L236">
        <v>152</v>
      </c>
      <c r="M236" s="23">
        <f t="shared" si="3"/>
        <v>379002</v>
      </c>
    </row>
    <row r="237" spans="1:13" x14ac:dyDescent="0.25">
      <c r="A237" s="2">
        <v>45285</v>
      </c>
      <c r="B237">
        <v>409</v>
      </c>
      <c r="C237">
        <v>464</v>
      </c>
      <c r="D237">
        <v>121</v>
      </c>
      <c r="E237">
        <v>235</v>
      </c>
      <c r="F237">
        <v>204</v>
      </c>
      <c r="G237">
        <v>1</v>
      </c>
      <c r="H237">
        <v>1</v>
      </c>
      <c r="I237">
        <v>4</v>
      </c>
      <c r="J237">
        <v>2</v>
      </c>
      <c r="K237">
        <v>3</v>
      </c>
      <c r="L237">
        <v>2311</v>
      </c>
      <c r="M237" s="23">
        <f t="shared" si="3"/>
        <v>381313</v>
      </c>
    </row>
    <row r="238" spans="1:13" x14ac:dyDescent="0.25">
      <c r="A238" s="2">
        <v>45286</v>
      </c>
      <c r="B238">
        <v>-569</v>
      </c>
      <c r="C238">
        <v>-532</v>
      </c>
      <c r="D238">
        <v>-8</v>
      </c>
      <c r="E238">
        <v>-118</v>
      </c>
      <c r="F238">
        <v>62</v>
      </c>
      <c r="G238">
        <v>1</v>
      </c>
      <c r="H238">
        <v>1</v>
      </c>
      <c r="I238">
        <v>4</v>
      </c>
      <c r="J238">
        <v>2</v>
      </c>
      <c r="K238">
        <v>3</v>
      </c>
      <c r="L238">
        <v>-1311</v>
      </c>
      <c r="M238" s="23">
        <f t="shared" si="3"/>
        <v>380002</v>
      </c>
    </row>
    <row r="239" spans="1:13" x14ac:dyDescent="0.25">
      <c r="A239" s="2">
        <v>45287</v>
      </c>
      <c r="B239">
        <v>66</v>
      </c>
      <c r="C239">
        <v>537</v>
      </c>
      <c r="D239">
        <v>114</v>
      </c>
      <c r="E239">
        <v>-140</v>
      </c>
      <c r="F239">
        <v>184</v>
      </c>
      <c r="G239">
        <v>1</v>
      </c>
      <c r="H239">
        <v>1</v>
      </c>
      <c r="I239">
        <v>4</v>
      </c>
      <c r="J239">
        <v>2</v>
      </c>
      <c r="K239">
        <v>3</v>
      </c>
      <c r="L239">
        <v>1203</v>
      </c>
      <c r="M239" s="23">
        <f t="shared" si="3"/>
        <v>381205</v>
      </c>
    </row>
    <row r="240" spans="1:13" x14ac:dyDescent="0.25">
      <c r="A240" s="2">
        <v>45288</v>
      </c>
      <c r="B240">
        <v>423</v>
      </c>
      <c r="C240">
        <v>451</v>
      </c>
      <c r="D240">
        <v>85</v>
      </c>
      <c r="E240">
        <v>-91</v>
      </c>
      <c r="F240">
        <v>5</v>
      </c>
      <c r="G240">
        <v>1</v>
      </c>
      <c r="H240">
        <v>1</v>
      </c>
      <c r="I240">
        <v>4</v>
      </c>
      <c r="J240">
        <v>2</v>
      </c>
      <c r="K240">
        <v>3</v>
      </c>
      <c r="L240">
        <v>919</v>
      </c>
      <c r="M240" s="23">
        <f t="shared" si="3"/>
        <v>382124</v>
      </c>
    </row>
    <row r="241" spans="1:13" x14ac:dyDescent="0.25">
      <c r="A241" s="2">
        <v>45289</v>
      </c>
      <c r="B241">
        <v>-526</v>
      </c>
      <c r="C241">
        <v>-185</v>
      </c>
      <c r="D241">
        <v>37</v>
      </c>
      <c r="E241">
        <v>-130</v>
      </c>
      <c r="F241">
        <v>29</v>
      </c>
      <c r="G241">
        <v>1</v>
      </c>
      <c r="H241">
        <v>1</v>
      </c>
      <c r="I241">
        <v>4</v>
      </c>
      <c r="J241">
        <v>2</v>
      </c>
      <c r="K241">
        <v>3</v>
      </c>
      <c r="L241">
        <v>-864</v>
      </c>
      <c r="M241" s="23">
        <f t="shared" si="3"/>
        <v>381260</v>
      </c>
    </row>
    <row r="242" spans="1:13" x14ac:dyDescent="0.25">
      <c r="A242" s="2">
        <v>45294</v>
      </c>
      <c r="B242">
        <v>871</v>
      </c>
      <c r="C242">
        <v>914</v>
      </c>
      <c r="D242">
        <v>-161</v>
      </c>
      <c r="E242">
        <v>-310</v>
      </c>
      <c r="F242">
        <v>175</v>
      </c>
      <c r="G242">
        <v>1</v>
      </c>
      <c r="H242">
        <v>1</v>
      </c>
      <c r="I242">
        <v>4</v>
      </c>
      <c r="J242">
        <v>2</v>
      </c>
      <c r="K242">
        <v>3</v>
      </c>
      <c r="L242">
        <v>918</v>
      </c>
      <c r="M242" s="23">
        <f t="shared" si="3"/>
        <v>382178</v>
      </c>
    </row>
    <row r="243" spans="1:13" x14ac:dyDescent="0.25">
      <c r="A243" s="2">
        <v>45295</v>
      </c>
      <c r="B243">
        <v>441</v>
      </c>
      <c r="C243">
        <v>458</v>
      </c>
      <c r="D243">
        <v>-46</v>
      </c>
      <c r="E243">
        <v>-69</v>
      </c>
      <c r="F243">
        <v>177</v>
      </c>
      <c r="G243">
        <v>1</v>
      </c>
      <c r="H243">
        <v>1</v>
      </c>
      <c r="I243">
        <v>4</v>
      </c>
      <c r="J243">
        <v>2</v>
      </c>
      <c r="K243">
        <v>3</v>
      </c>
      <c r="L243">
        <v>980</v>
      </c>
      <c r="M243" s="23">
        <f t="shared" si="3"/>
        <v>383158</v>
      </c>
    </row>
    <row r="244" spans="1:13" x14ac:dyDescent="0.25">
      <c r="A244" s="2">
        <v>45296</v>
      </c>
      <c r="B244">
        <v>883</v>
      </c>
      <c r="C244">
        <v>910</v>
      </c>
      <c r="D244">
        <v>-44</v>
      </c>
      <c r="E244">
        <v>152</v>
      </c>
      <c r="F244">
        <v>39</v>
      </c>
      <c r="G244">
        <v>1</v>
      </c>
      <c r="H244">
        <v>1</v>
      </c>
      <c r="I244">
        <v>4</v>
      </c>
      <c r="J244">
        <v>2</v>
      </c>
      <c r="K244">
        <v>3</v>
      </c>
      <c r="L244">
        <v>1910</v>
      </c>
      <c r="M244" s="23">
        <f t="shared" si="3"/>
        <v>385068</v>
      </c>
    </row>
    <row r="245" spans="1:13" x14ac:dyDescent="0.25">
      <c r="A245" s="2">
        <v>45299</v>
      </c>
      <c r="B245">
        <v>-505</v>
      </c>
      <c r="C245">
        <v>-669</v>
      </c>
      <c r="D245">
        <v>41</v>
      </c>
      <c r="E245">
        <v>176</v>
      </c>
      <c r="F245">
        <v>-3</v>
      </c>
      <c r="G245">
        <v>1</v>
      </c>
      <c r="H245">
        <v>1</v>
      </c>
      <c r="I245">
        <v>4</v>
      </c>
      <c r="J245">
        <v>2</v>
      </c>
      <c r="K245">
        <v>3</v>
      </c>
      <c r="L245">
        <v>-795</v>
      </c>
      <c r="M245" s="23">
        <f t="shared" si="3"/>
        <v>384273</v>
      </c>
    </row>
    <row r="246" spans="1:13" x14ac:dyDescent="0.25">
      <c r="A246" s="2">
        <v>45300</v>
      </c>
      <c r="B246">
        <v>445</v>
      </c>
      <c r="C246">
        <v>466</v>
      </c>
      <c r="D246">
        <v>-80</v>
      </c>
      <c r="E246">
        <v>-79</v>
      </c>
      <c r="F246">
        <v>116</v>
      </c>
      <c r="G246">
        <v>1</v>
      </c>
      <c r="H246">
        <v>1</v>
      </c>
      <c r="I246">
        <v>4</v>
      </c>
      <c r="J246">
        <v>2</v>
      </c>
      <c r="K246">
        <v>3</v>
      </c>
      <c r="L246">
        <v>653</v>
      </c>
      <c r="M246" s="23">
        <f t="shared" si="3"/>
        <v>384926</v>
      </c>
    </row>
    <row r="247" spans="1:13" x14ac:dyDescent="0.25">
      <c r="A247" s="2">
        <v>45301</v>
      </c>
      <c r="B247">
        <v>-196</v>
      </c>
      <c r="C247">
        <v>-455</v>
      </c>
      <c r="D247">
        <v>-56</v>
      </c>
      <c r="E247">
        <v>115</v>
      </c>
      <c r="F247">
        <v>150</v>
      </c>
      <c r="G247">
        <v>1</v>
      </c>
      <c r="H247">
        <v>1</v>
      </c>
      <c r="I247">
        <v>4</v>
      </c>
      <c r="J247">
        <v>2</v>
      </c>
      <c r="K247">
        <v>3</v>
      </c>
      <c r="L247">
        <v>-323</v>
      </c>
      <c r="M247" s="23">
        <f t="shared" si="3"/>
        <v>384603</v>
      </c>
    </row>
    <row r="248" spans="1:13" x14ac:dyDescent="0.25">
      <c r="A248" s="2">
        <v>45302</v>
      </c>
      <c r="B248">
        <v>874</v>
      </c>
      <c r="C248">
        <v>464</v>
      </c>
      <c r="D248">
        <v>86</v>
      </c>
      <c r="E248">
        <v>-101</v>
      </c>
      <c r="F248">
        <v>95</v>
      </c>
      <c r="G248">
        <v>1</v>
      </c>
      <c r="H248">
        <v>1</v>
      </c>
      <c r="I248">
        <v>4</v>
      </c>
      <c r="J248">
        <v>2</v>
      </c>
      <c r="K248">
        <v>3</v>
      </c>
      <c r="L248">
        <v>1637</v>
      </c>
      <c r="M248" s="23">
        <f t="shared" si="3"/>
        <v>386240</v>
      </c>
    </row>
    <row r="249" spans="1:13" x14ac:dyDescent="0.25">
      <c r="A249" s="2">
        <v>45303</v>
      </c>
      <c r="B249">
        <v>-97</v>
      </c>
      <c r="C249">
        <v>207</v>
      </c>
      <c r="D249">
        <v>-102</v>
      </c>
      <c r="E249">
        <v>-25</v>
      </c>
      <c r="F249">
        <v>20</v>
      </c>
      <c r="G249">
        <v>1</v>
      </c>
      <c r="H249">
        <v>1</v>
      </c>
      <c r="I249">
        <v>4</v>
      </c>
      <c r="J249">
        <v>2</v>
      </c>
      <c r="K249">
        <v>3</v>
      </c>
      <c r="L249">
        <v>-416</v>
      </c>
      <c r="M249" s="23">
        <f t="shared" si="3"/>
        <v>385824</v>
      </c>
    </row>
    <row r="250" spans="1:13" x14ac:dyDescent="0.25">
      <c r="A250" s="2">
        <v>45306</v>
      </c>
      <c r="B250">
        <v>423</v>
      </c>
      <c r="C250">
        <v>598</v>
      </c>
      <c r="D250">
        <v>-18</v>
      </c>
      <c r="E250">
        <v>0</v>
      </c>
      <c r="F250">
        <v>-172</v>
      </c>
      <c r="G250">
        <v>1</v>
      </c>
      <c r="H250">
        <v>1</v>
      </c>
      <c r="I250">
        <v>4</v>
      </c>
      <c r="J250">
        <v>2</v>
      </c>
      <c r="K250">
        <v>3</v>
      </c>
      <c r="L250">
        <v>305</v>
      </c>
      <c r="M250" s="23">
        <f t="shared" si="3"/>
        <v>386129</v>
      </c>
    </row>
    <row r="251" spans="1:13" x14ac:dyDescent="0.25">
      <c r="A251" s="2">
        <v>45307</v>
      </c>
      <c r="B251">
        <v>-114</v>
      </c>
      <c r="C251">
        <v>464</v>
      </c>
      <c r="D251">
        <v>0</v>
      </c>
      <c r="E251">
        <v>-50</v>
      </c>
      <c r="F251">
        <v>130</v>
      </c>
      <c r="G251">
        <v>1</v>
      </c>
      <c r="H251">
        <v>1</v>
      </c>
      <c r="I251">
        <v>4</v>
      </c>
      <c r="J251">
        <v>2</v>
      </c>
      <c r="K251">
        <v>3</v>
      </c>
      <c r="L251">
        <v>512</v>
      </c>
      <c r="M251" s="23">
        <f t="shared" si="3"/>
        <v>386641</v>
      </c>
    </row>
    <row r="252" spans="1:13" x14ac:dyDescent="0.25">
      <c r="A252" s="2">
        <v>45308</v>
      </c>
      <c r="B252">
        <v>708</v>
      </c>
      <c r="C252">
        <v>-815</v>
      </c>
      <c r="D252">
        <v>-39</v>
      </c>
      <c r="E252">
        <v>204</v>
      </c>
      <c r="F252">
        <v>-116</v>
      </c>
      <c r="G252">
        <v>1</v>
      </c>
      <c r="H252">
        <v>1</v>
      </c>
      <c r="I252">
        <v>4</v>
      </c>
      <c r="J252">
        <v>2</v>
      </c>
      <c r="K252">
        <v>3</v>
      </c>
      <c r="L252">
        <v>-331</v>
      </c>
      <c r="M252" s="23">
        <f t="shared" si="3"/>
        <v>386310</v>
      </c>
    </row>
    <row r="253" spans="1:13" x14ac:dyDescent="0.25">
      <c r="A253" s="2">
        <v>45309</v>
      </c>
      <c r="B253">
        <v>177</v>
      </c>
      <c r="C253">
        <v>230</v>
      </c>
      <c r="D253">
        <v>153</v>
      </c>
      <c r="E253">
        <v>-115</v>
      </c>
      <c r="F253">
        <v>73</v>
      </c>
      <c r="G253">
        <v>1</v>
      </c>
      <c r="H253">
        <v>1</v>
      </c>
      <c r="I253">
        <v>4</v>
      </c>
      <c r="J253">
        <v>2</v>
      </c>
      <c r="K253">
        <v>3</v>
      </c>
      <c r="L253">
        <v>880</v>
      </c>
      <c r="M253" s="23">
        <f t="shared" si="3"/>
        <v>387190</v>
      </c>
    </row>
    <row r="254" spans="1:13" x14ac:dyDescent="0.25">
      <c r="A254" s="2">
        <v>45310</v>
      </c>
      <c r="B254">
        <v>760</v>
      </c>
      <c r="C254">
        <v>424</v>
      </c>
      <c r="D254">
        <v>81</v>
      </c>
      <c r="E254">
        <v>275</v>
      </c>
      <c r="F254">
        <v>124</v>
      </c>
      <c r="G254">
        <v>1</v>
      </c>
      <c r="H254">
        <v>1</v>
      </c>
      <c r="I254">
        <v>4</v>
      </c>
      <c r="J254">
        <v>2</v>
      </c>
      <c r="K254">
        <v>3</v>
      </c>
      <c r="L254">
        <v>2302</v>
      </c>
      <c r="M254" s="23">
        <f t="shared" si="3"/>
        <v>389492</v>
      </c>
    </row>
    <row r="255" spans="1:13" x14ac:dyDescent="0.25">
      <c r="A255" s="2">
        <v>45313</v>
      </c>
      <c r="B255">
        <v>108</v>
      </c>
      <c r="C255">
        <v>148</v>
      </c>
      <c r="D255">
        <v>12</v>
      </c>
      <c r="E255">
        <v>19</v>
      </c>
      <c r="F255">
        <v>122</v>
      </c>
      <c r="G255">
        <v>1</v>
      </c>
      <c r="H255">
        <v>1</v>
      </c>
      <c r="I255">
        <v>4</v>
      </c>
      <c r="J255">
        <v>2</v>
      </c>
      <c r="K255">
        <v>3</v>
      </c>
      <c r="L255">
        <v>580</v>
      </c>
      <c r="M255" s="23">
        <f t="shared" si="3"/>
        <v>390072</v>
      </c>
    </row>
    <row r="256" spans="1:13" x14ac:dyDescent="0.25">
      <c r="A256" s="2">
        <v>45314</v>
      </c>
      <c r="B256">
        <v>385</v>
      </c>
      <c r="C256">
        <v>-646</v>
      </c>
      <c r="D256">
        <v>159</v>
      </c>
      <c r="E256">
        <v>-91</v>
      </c>
      <c r="F256">
        <v>129</v>
      </c>
      <c r="G256">
        <v>1</v>
      </c>
      <c r="H256">
        <v>1</v>
      </c>
      <c r="I256">
        <v>4</v>
      </c>
      <c r="J256">
        <v>2</v>
      </c>
      <c r="K256">
        <v>3</v>
      </c>
      <c r="L256">
        <v>452</v>
      </c>
      <c r="M256" s="23">
        <f t="shared" si="3"/>
        <v>390524</v>
      </c>
    </row>
    <row r="257" spans="1:13" x14ac:dyDescent="0.25">
      <c r="A257" s="2">
        <v>45315</v>
      </c>
      <c r="B257">
        <v>74</v>
      </c>
      <c r="C257">
        <v>496</v>
      </c>
      <c r="D257">
        <v>82</v>
      </c>
      <c r="E257">
        <v>137</v>
      </c>
      <c r="F257">
        <v>-72</v>
      </c>
      <c r="G257">
        <v>1</v>
      </c>
      <c r="H257">
        <v>1</v>
      </c>
      <c r="I257">
        <v>4</v>
      </c>
      <c r="J257">
        <v>2</v>
      </c>
      <c r="K257">
        <v>3</v>
      </c>
      <c r="L257">
        <v>828</v>
      </c>
      <c r="M257" s="23">
        <f t="shared" si="3"/>
        <v>391352</v>
      </c>
    </row>
    <row r="258" spans="1:13" x14ac:dyDescent="0.25">
      <c r="A258" s="2">
        <v>45316</v>
      </c>
      <c r="B258">
        <v>-578</v>
      </c>
      <c r="C258">
        <v>254</v>
      </c>
      <c r="D258">
        <v>71</v>
      </c>
      <c r="E258">
        <v>140</v>
      </c>
      <c r="F258">
        <v>130</v>
      </c>
      <c r="G258">
        <v>1</v>
      </c>
      <c r="H258">
        <v>1</v>
      </c>
      <c r="I258">
        <v>4</v>
      </c>
      <c r="J258">
        <v>2</v>
      </c>
      <c r="K258">
        <v>3</v>
      </c>
      <c r="L258">
        <v>502</v>
      </c>
      <c r="M258" s="23">
        <f t="shared" si="3"/>
        <v>391854</v>
      </c>
    </row>
    <row r="259" spans="1:13" x14ac:dyDescent="0.25">
      <c r="A259" s="2">
        <v>45317</v>
      </c>
      <c r="B259">
        <v>761</v>
      </c>
      <c r="C259">
        <v>808</v>
      </c>
      <c r="D259">
        <v>161</v>
      </c>
      <c r="E259">
        <v>68</v>
      </c>
      <c r="F259">
        <v>-14</v>
      </c>
      <c r="G259">
        <v>1</v>
      </c>
      <c r="H259">
        <v>1</v>
      </c>
      <c r="I259">
        <v>4</v>
      </c>
      <c r="J259">
        <v>2</v>
      </c>
      <c r="K259">
        <v>3</v>
      </c>
      <c r="L259">
        <v>2179</v>
      </c>
      <c r="M259" s="23">
        <f t="shared" si="3"/>
        <v>394033</v>
      </c>
    </row>
    <row r="260" spans="1:13" x14ac:dyDescent="0.25">
      <c r="A260" s="2">
        <v>45320</v>
      </c>
      <c r="B260">
        <v>380</v>
      </c>
      <c r="C260">
        <v>409</v>
      </c>
      <c r="D260">
        <v>70</v>
      </c>
      <c r="E260">
        <v>-117</v>
      </c>
      <c r="F260">
        <v>254</v>
      </c>
      <c r="G260">
        <v>1</v>
      </c>
      <c r="H260">
        <v>1</v>
      </c>
      <c r="I260">
        <v>4</v>
      </c>
      <c r="J260">
        <v>2</v>
      </c>
      <c r="K260">
        <v>3</v>
      </c>
      <c r="L260">
        <v>1469</v>
      </c>
      <c r="M260" s="23">
        <f t="shared" ref="M260:M323" si="4">M259+L260</f>
        <v>395502</v>
      </c>
    </row>
    <row r="261" spans="1:13" x14ac:dyDescent="0.25">
      <c r="A261" s="2">
        <v>45321</v>
      </c>
      <c r="B261">
        <v>-629</v>
      </c>
      <c r="C261">
        <v>425</v>
      </c>
      <c r="D261">
        <v>25</v>
      </c>
      <c r="E261">
        <v>153</v>
      </c>
      <c r="F261">
        <v>-89</v>
      </c>
      <c r="G261">
        <v>1</v>
      </c>
      <c r="H261">
        <v>1</v>
      </c>
      <c r="I261">
        <v>4</v>
      </c>
      <c r="J261">
        <v>2</v>
      </c>
      <c r="K261">
        <v>3</v>
      </c>
      <c r="L261">
        <v>-193</v>
      </c>
      <c r="M261" s="23">
        <f t="shared" si="4"/>
        <v>395309</v>
      </c>
    </row>
    <row r="262" spans="1:13" x14ac:dyDescent="0.25">
      <c r="A262" s="2">
        <v>45322</v>
      </c>
      <c r="B262">
        <v>503</v>
      </c>
      <c r="C262">
        <v>313</v>
      </c>
      <c r="D262">
        <v>77</v>
      </c>
      <c r="E262">
        <v>37</v>
      </c>
      <c r="F262">
        <v>-36</v>
      </c>
      <c r="G262">
        <v>1</v>
      </c>
      <c r="H262">
        <v>1</v>
      </c>
      <c r="I262">
        <v>4</v>
      </c>
      <c r="J262">
        <v>2</v>
      </c>
      <c r="K262">
        <v>3</v>
      </c>
      <c r="L262">
        <v>962</v>
      </c>
      <c r="M262" s="23">
        <f t="shared" si="4"/>
        <v>396271</v>
      </c>
    </row>
    <row r="263" spans="1:13" x14ac:dyDescent="0.25">
      <c r="A263" s="2">
        <v>45323</v>
      </c>
      <c r="B263">
        <v>464</v>
      </c>
      <c r="C263">
        <v>855</v>
      </c>
      <c r="D263">
        <v>80</v>
      </c>
      <c r="E263">
        <v>64</v>
      </c>
      <c r="F263">
        <v>-91</v>
      </c>
      <c r="G263">
        <v>1</v>
      </c>
      <c r="H263">
        <v>1</v>
      </c>
      <c r="I263">
        <v>4</v>
      </c>
      <c r="J263">
        <v>2</v>
      </c>
      <c r="K263">
        <v>3</v>
      </c>
      <c r="L263">
        <v>1366</v>
      </c>
      <c r="M263" s="23">
        <f t="shared" si="4"/>
        <v>397637</v>
      </c>
    </row>
    <row r="264" spans="1:13" x14ac:dyDescent="0.25">
      <c r="A264" s="2">
        <v>45324</v>
      </c>
      <c r="B264">
        <v>332</v>
      </c>
      <c r="C264">
        <v>431</v>
      </c>
      <c r="D264">
        <v>32</v>
      </c>
      <c r="E264">
        <v>-42</v>
      </c>
      <c r="F264">
        <v>137</v>
      </c>
      <c r="G264">
        <v>1</v>
      </c>
      <c r="H264">
        <v>1</v>
      </c>
      <c r="I264">
        <v>4</v>
      </c>
      <c r="J264">
        <v>2</v>
      </c>
      <c r="K264">
        <v>3</v>
      </c>
      <c r="L264">
        <v>1090</v>
      </c>
      <c r="M264" s="23">
        <f t="shared" si="4"/>
        <v>398727</v>
      </c>
    </row>
    <row r="265" spans="1:13" x14ac:dyDescent="0.25">
      <c r="A265" s="2">
        <v>45327</v>
      </c>
      <c r="B265">
        <v>374</v>
      </c>
      <c r="C265">
        <v>864</v>
      </c>
      <c r="D265">
        <v>-48</v>
      </c>
      <c r="E265">
        <v>-57</v>
      </c>
      <c r="F265">
        <v>252</v>
      </c>
      <c r="G265">
        <v>1</v>
      </c>
      <c r="H265">
        <v>1</v>
      </c>
      <c r="I265">
        <v>4</v>
      </c>
      <c r="J265">
        <v>2</v>
      </c>
      <c r="K265">
        <v>3</v>
      </c>
      <c r="L265">
        <v>1560</v>
      </c>
      <c r="M265" s="23">
        <f t="shared" si="4"/>
        <v>400287</v>
      </c>
    </row>
    <row r="266" spans="1:13" x14ac:dyDescent="0.25">
      <c r="A266" s="2">
        <v>45328</v>
      </c>
      <c r="B266">
        <v>-650</v>
      </c>
      <c r="C266">
        <v>-640</v>
      </c>
      <c r="D266">
        <v>57</v>
      </c>
      <c r="E266">
        <v>58</v>
      </c>
      <c r="F266">
        <v>-30</v>
      </c>
      <c r="G266">
        <v>1</v>
      </c>
      <c r="H266">
        <v>1</v>
      </c>
      <c r="I266">
        <v>4</v>
      </c>
      <c r="J266">
        <v>2</v>
      </c>
      <c r="K266">
        <v>3</v>
      </c>
      <c r="L266">
        <v>-1164</v>
      </c>
      <c r="M266" s="23">
        <f t="shared" si="4"/>
        <v>399123</v>
      </c>
    </row>
    <row r="267" spans="1:13" x14ac:dyDescent="0.25">
      <c r="A267" s="2">
        <v>45329</v>
      </c>
      <c r="B267">
        <v>284</v>
      </c>
      <c r="C267">
        <v>256</v>
      </c>
      <c r="D267">
        <v>13</v>
      </c>
      <c r="E267">
        <v>212</v>
      </c>
      <c r="F267">
        <v>225</v>
      </c>
      <c r="G267">
        <v>1</v>
      </c>
      <c r="H267">
        <v>1</v>
      </c>
      <c r="I267">
        <v>4</v>
      </c>
      <c r="J267">
        <v>2</v>
      </c>
      <c r="K267">
        <v>3</v>
      </c>
      <c r="L267">
        <v>1563</v>
      </c>
      <c r="M267" s="23">
        <f t="shared" si="4"/>
        <v>400686</v>
      </c>
    </row>
    <row r="268" spans="1:13" x14ac:dyDescent="0.25">
      <c r="A268" s="2">
        <v>45330</v>
      </c>
      <c r="B268">
        <v>374</v>
      </c>
      <c r="C268">
        <v>427</v>
      </c>
      <c r="D268">
        <v>77</v>
      </c>
      <c r="E268">
        <v>113</v>
      </c>
      <c r="F268">
        <v>135</v>
      </c>
      <c r="G268">
        <v>1</v>
      </c>
      <c r="H268">
        <v>1</v>
      </c>
      <c r="I268">
        <v>4</v>
      </c>
      <c r="J268">
        <v>2</v>
      </c>
      <c r="K268">
        <v>3</v>
      </c>
      <c r="L268">
        <v>1612</v>
      </c>
      <c r="M268" s="23">
        <f t="shared" si="4"/>
        <v>402298</v>
      </c>
    </row>
    <row r="269" spans="1:13" x14ac:dyDescent="0.25">
      <c r="A269" s="2">
        <v>45331</v>
      </c>
      <c r="B269">
        <v>-283</v>
      </c>
      <c r="C269">
        <v>-281</v>
      </c>
      <c r="D269">
        <v>22</v>
      </c>
      <c r="E269">
        <v>-55</v>
      </c>
      <c r="F269">
        <v>-65</v>
      </c>
      <c r="G269">
        <v>1</v>
      </c>
      <c r="H269">
        <v>1</v>
      </c>
      <c r="I269">
        <v>4</v>
      </c>
      <c r="J269">
        <v>2</v>
      </c>
      <c r="K269">
        <v>3</v>
      </c>
      <c r="L269">
        <v>-909</v>
      </c>
      <c r="M269" s="23">
        <f t="shared" si="4"/>
        <v>401389</v>
      </c>
    </row>
    <row r="270" spans="1:13" x14ac:dyDescent="0.25">
      <c r="A270" s="2">
        <v>45334</v>
      </c>
      <c r="B270">
        <v>73</v>
      </c>
      <c r="C270">
        <v>-142</v>
      </c>
      <c r="D270">
        <v>112</v>
      </c>
      <c r="E270">
        <v>229</v>
      </c>
      <c r="F270">
        <v>8</v>
      </c>
      <c r="G270">
        <v>1</v>
      </c>
      <c r="H270">
        <v>1</v>
      </c>
      <c r="I270">
        <v>4</v>
      </c>
      <c r="J270">
        <v>2</v>
      </c>
      <c r="K270">
        <v>3</v>
      </c>
      <c r="L270">
        <v>733</v>
      </c>
      <c r="M270" s="23">
        <f t="shared" si="4"/>
        <v>402122</v>
      </c>
    </row>
    <row r="271" spans="1:13" x14ac:dyDescent="0.25">
      <c r="A271" s="2">
        <v>45335</v>
      </c>
      <c r="B271">
        <v>145</v>
      </c>
      <c r="C271">
        <v>418</v>
      </c>
      <c r="D271">
        <v>46</v>
      </c>
      <c r="E271">
        <v>-16</v>
      </c>
      <c r="F271">
        <v>49</v>
      </c>
      <c r="G271">
        <v>1</v>
      </c>
      <c r="H271">
        <v>1</v>
      </c>
      <c r="I271">
        <v>4</v>
      </c>
      <c r="J271">
        <v>2</v>
      </c>
      <c r="K271">
        <v>3</v>
      </c>
      <c r="L271">
        <v>734</v>
      </c>
      <c r="M271" s="23">
        <f t="shared" si="4"/>
        <v>402856</v>
      </c>
    </row>
    <row r="272" spans="1:13" x14ac:dyDescent="0.25">
      <c r="A272" s="2">
        <v>45336</v>
      </c>
      <c r="B272">
        <v>257</v>
      </c>
      <c r="C272">
        <v>-291</v>
      </c>
      <c r="D272">
        <v>81</v>
      </c>
      <c r="E272">
        <v>118</v>
      </c>
      <c r="F272">
        <v>134</v>
      </c>
      <c r="G272">
        <v>1</v>
      </c>
      <c r="H272">
        <v>1</v>
      </c>
      <c r="I272">
        <v>4</v>
      </c>
      <c r="J272">
        <v>2</v>
      </c>
      <c r="K272">
        <v>3</v>
      </c>
      <c r="L272">
        <v>800</v>
      </c>
      <c r="M272" s="23">
        <f t="shared" si="4"/>
        <v>403656</v>
      </c>
    </row>
    <row r="273" spans="1:13" x14ac:dyDescent="0.25">
      <c r="A273" s="2">
        <v>45337</v>
      </c>
      <c r="B273">
        <v>669</v>
      </c>
      <c r="C273">
        <v>786</v>
      </c>
      <c r="D273">
        <v>36</v>
      </c>
      <c r="E273">
        <v>88</v>
      </c>
      <c r="F273">
        <v>102</v>
      </c>
      <c r="G273">
        <v>1</v>
      </c>
      <c r="H273">
        <v>1</v>
      </c>
      <c r="I273">
        <v>4</v>
      </c>
      <c r="J273">
        <v>2</v>
      </c>
      <c r="K273">
        <v>3</v>
      </c>
      <c r="L273">
        <v>1953</v>
      </c>
      <c r="M273" s="23">
        <f t="shared" si="4"/>
        <v>405609</v>
      </c>
    </row>
    <row r="274" spans="1:13" x14ac:dyDescent="0.25">
      <c r="A274" s="2">
        <v>45338</v>
      </c>
      <c r="B274">
        <v>334</v>
      </c>
      <c r="C274">
        <v>-365</v>
      </c>
      <c r="D274">
        <v>103</v>
      </c>
      <c r="E274">
        <v>118</v>
      </c>
      <c r="F274">
        <v>256</v>
      </c>
      <c r="G274">
        <v>1</v>
      </c>
      <c r="H274">
        <v>1</v>
      </c>
      <c r="I274">
        <v>4</v>
      </c>
      <c r="J274">
        <v>2</v>
      </c>
      <c r="K274">
        <v>3</v>
      </c>
      <c r="L274">
        <v>1257</v>
      </c>
      <c r="M274" s="23">
        <f t="shared" si="4"/>
        <v>406866</v>
      </c>
    </row>
    <row r="275" spans="1:13" x14ac:dyDescent="0.25">
      <c r="A275" s="2">
        <v>45341</v>
      </c>
      <c r="B275">
        <v>-306</v>
      </c>
      <c r="C275">
        <v>-256</v>
      </c>
      <c r="D275">
        <v>6</v>
      </c>
      <c r="E275">
        <v>-103</v>
      </c>
      <c r="F275">
        <v>-210</v>
      </c>
      <c r="G275">
        <v>1</v>
      </c>
      <c r="H275">
        <v>1</v>
      </c>
      <c r="I275">
        <v>4</v>
      </c>
      <c r="J275">
        <v>2</v>
      </c>
      <c r="K275">
        <v>3</v>
      </c>
      <c r="L275">
        <v>-1502</v>
      </c>
      <c r="M275" s="23">
        <f t="shared" si="4"/>
        <v>405364</v>
      </c>
    </row>
    <row r="276" spans="1:13" x14ac:dyDescent="0.25">
      <c r="A276" s="2">
        <v>45342</v>
      </c>
      <c r="B276">
        <v>-258</v>
      </c>
      <c r="C276">
        <v>125</v>
      </c>
      <c r="D276">
        <v>68</v>
      </c>
      <c r="E276">
        <v>124</v>
      </c>
      <c r="F276">
        <v>131</v>
      </c>
      <c r="G276">
        <v>1</v>
      </c>
      <c r="H276">
        <v>1</v>
      </c>
      <c r="I276">
        <v>4</v>
      </c>
      <c r="J276">
        <v>2</v>
      </c>
      <c r="K276">
        <v>3</v>
      </c>
      <c r="L276">
        <v>652</v>
      </c>
      <c r="M276" s="23">
        <f t="shared" si="4"/>
        <v>406016</v>
      </c>
    </row>
    <row r="277" spans="1:13" x14ac:dyDescent="0.25">
      <c r="A277" s="2">
        <v>45343</v>
      </c>
      <c r="B277">
        <v>-564</v>
      </c>
      <c r="C277">
        <v>749</v>
      </c>
      <c r="D277">
        <v>101</v>
      </c>
      <c r="E277">
        <v>164</v>
      </c>
      <c r="F277">
        <v>-130</v>
      </c>
      <c r="G277">
        <v>1</v>
      </c>
      <c r="H277">
        <v>1</v>
      </c>
      <c r="I277">
        <v>4</v>
      </c>
      <c r="J277">
        <v>2</v>
      </c>
      <c r="K277">
        <v>3</v>
      </c>
      <c r="L277">
        <v>399</v>
      </c>
      <c r="M277" s="23">
        <f t="shared" si="4"/>
        <v>406415</v>
      </c>
    </row>
    <row r="278" spans="1:13" x14ac:dyDescent="0.25">
      <c r="A278" s="2">
        <v>45344</v>
      </c>
      <c r="B278">
        <v>83</v>
      </c>
      <c r="C278">
        <v>-120</v>
      </c>
      <c r="D278">
        <v>141</v>
      </c>
      <c r="E278">
        <v>-138</v>
      </c>
      <c r="F278">
        <v>-17</v>
      </c>
      <c r="G278">
        <v>1</v>
      </c>
      <c r="H278">
        <v>1</v>
      </c>
      <c r="I278">
        <v>4</v>
      </c>
      <c r="J278">
        <v>2</v>
      </c>
      <c r="K278">
        <v>3</v>
      </c>
      <c r="L278">
        <v>72</v>
      </c>
      <c r="M278" s="23">
        <f t="shared" si="4"/>
        <v>406487</v>
      </c>
    </row>
    <row r="279" spans="1:13" x14ac:dyDescent="0.25">
      <c r="A279" s="2">
        <v>45348</v>
      </c>
      <c r="B279">
        <v>328</v>
      </c>
      <c r="C279">
        <v>202</v>
      </c>
      <c r="D279">
        <v>-22</v>
      </c>
      <c r="E279">
        <v>262</v>
      </c>
      <c r="F279">
        <v>-1</v>
      </c>
      <c r="G279">
        <v>1</v>
      </c>
      <c r="H279">
        <v>1</v>
      </c>
      <c r="I279">
        <v>4</v>
      </c>
      <c r="J279">
        <v>2</v>
      </c>
      <c r="K279">
        <v>3</v>
      </c>
      <c r="L279">
        <v>835</v>
      </c>
      <c r="M279" s="23">
        <f t="shared" si="4"/>
        <v>407322</v>
      </c>
    </row>
    <row r="280" spans="1:13" x14ac:dyDescent="0.25">
      <c r="A280" s="2">
        <v>45349</v>
      </c>
      <c r="B280">
        <v>41</v>
      </c>
      <c r="C280">
        <v>166</v>
      </c>
      <c r="D280">
        <v>70</v>
      </c>
      <c r="E280">
        <v>165</v>
      </c>
      <c r="F280">
        <v>273</v>
      </c>
      <c r="G280">
        <v>1</v>
      </c>
      <c r="H280">
        <v>1</v>
      </c>
      <c r="I280">
        <v>4</v>
      </c>
      <c r="J280">
        <v>2</v>
      </c>
      <c r="K280">
        <v>3</v>
      </c>
      <c r="L280">
        <v>1508</v>
      </c>
      <c r="M280" s="23">
        <f t="shared" si="4"/>
        <v>408830</v>
      </c>
    </row>
    <row r="281" spans="1:13" x14ac:dyDescent="0.25">
      <c r="A281" s="2">
        <v>45350</v>
      </c>
      <c r="B281">
        <v>644</v>
      </c>
      <c r="C281">
        <v>712</v>
      </c>
      <c r="D281">
        <v>69</v>
      </c>
      <c r="E281">
        <v>135</v>
      </c>
      <c r="F281">
        <v>6</v>
      </c>
      <c r="G281">
        <v>1</v>
      </c>
      <c r="H281">
        <v>1</v>
      </c>
      <c r="I281">
        <v>4</v>
      </c>
      <c r="J281">
        <v>2</v>
      </c>
      <c r="K281">
        <v>3</v>
      </c>
      <c r="L281">
        <v>1792</v>
      </c>
      <c r="M281" s="23">
        <f t="shared" si="4"/>
        <v>410622</v>
      </c>
    </row>
    <row r="282" spans="1:13" x14ac:dyDescent="0.25">
      <c r="A282" s="2">
        <v>45351</v>
      </c>
      <c r="B282">
        <v>139</v>
      </c>
      <c r="C282">
        <v>720</v>
      </c>
      <c r="D282">
        <v>95</v>
      </c>
      <c r="E282">
        <v>-10</v>
      </c>
      <c r="F282">
        <v>-1</v>
      </c>
      <c r="G282">
        <v>1</v>
      </c>
      <c r="H282">
        <v>1</v>
      </c>
      <c r="I282">
        <v>4</v>
      </c>
      <c r="J282">
        <v>2</v>
      </c>
      <c r="K282">
        <v>3</v>
      </c>
      <c r="L282">
        <v>1088</v>
      </c>
      <c r="M282" s="23">
        <f t="shared" si="4"/>
        <v>411710</v>
      </c>
    </row>
    <row r="283" spans="1:13" x14ac:dyDescent="0.25">
      <c r="A283" s="2">
        <v>45352</v>
      </c>
      <c r="B283">
        <v>-483</v>
      </c>
      <c r="C283">
        <v>361</v>
      </c>
      <c r="D283">
        <v>-44</v>
      </c>
      <c r="E283">
        <v>261</v>
      </c>
      <c r="F283">
        <v>51</v>
      </c>
      <c r="G283">
        <v>1</v>
      </c>
      <c r="H283">
        <v>1</v>
      </c>
      <c r="I283">
        <v>4</v>
      </c>
      <c r="J283">
        <v>2</v>
      </c>
      <c r="K283">
        <v>3</v>
      </c>
      <c r="L283">
        <v>249</v>
      </c>
      <c r="M283" s="23">
        <f t="shared" si="4"/>
        <v>411959</v>
      </c>
    </row>
    <row r="284" spans="1:13" x14ac:dyDescent="0.25">
      <c r="A284" s="2">
        <v>45355</v>
      </c>
      <c r="B284">
        <v>319</v>
      </c>
      <c r="C284">
        <v>-276</v>
      </c>
      <c r="D284">
        <v>65</v>
      </c>
      <c r="E284">
        <v>260</v>
      </c>
      <c r="F284">
        <v>-15</v>
      </c>
      <c r="G284">
        <v>1</v>
      </c>
      <c r="H284">
        <v>1</v>
      </c>
      <c r="I284">
        <v>4</v>
      </c>
      <c r="J284">
        <v>2</v>
      </c>
      <c r="K284">
        <v>3</v>
      </c>
      <c r="L284">
        <v>650</v>
      </c>
      <c r="M284" s="23">
        <f t="shared" si="4"/>
        <v>412609</v>
      </c>
    </row>
    <row r="285" spans="1:13" x14ac:dyDescent="0.25">
      <c r="A285" s="2">
        <v>45356</v>
      </c>
      <c r="B285">
        <v>558</v>
      </c>
      <c r="C285">
        <v>494</v>
      </c>
      <c r="D285">
        <v>17</v>
      </c>
      <c r="E285">
        <v>-77</v>
      </c>
      <c r="F285">
        <v>288</v>
      </c>
      <c r="G285">
        <v>1</v>
      </c>
      <c r="H285">
        <v>1</v>
      </c>
      <c r="I285">
        <v>4</v>
      </c>
      <c r="J285">
        <v>2</v>
      </c>
      <c r="K285">
        <v>3</v>
      </c>
      <c r="L285">
        <v>1702</v>
      </c>
      <c r="M285" s="23">
        <f t="shared" si="4"/>
        <v>414311</v>
      </c>
    </row>
    <row r="286" spans="1:13" x14ac:dyDescent="0.25">
      <c r="A286" s="2">
        <v>45357</v>
      </c>
      <c r="B286">
        <v>-63</v>
      </c>
      <c r="C286">
        <v>-373</v>
      </c>
      <c r="D286">
        <v>-26</v>
      </c>
      <c r="E286">
        <v>38</v>
      </c>
      <c r="F286">
        <v>-117</v>
      </c>
      <c r="G286">
        <v>1</v>
      </c>
      <c r="H286">
        <v>1</v>
      </c>
      <c r="I286">
        <v>4</v>
      </c>
      <c r="J286">
        <v>2</v>
      </c>
      <c r="K286">
        <v>3</v>
      </c>
      <c r="L286">
        <v>-943</v>
      </c>
      <c r="M286" s="23">
        <f t="shared" si="4"/>
        <v>413368</v>
      </c>
    </row>
    <row r="287" spans="1:13" x14ac:dyDescent="0.25">
      <c r="A287" s="2">
        <v>45358</v>
      </c>
      <c r="B287">
        <v>-14</v>
      </c>
      <c r="C287">
        <v>301</v>
      </c>
      <c r="D287">
        <v>69</v>
      </c>
      <c r="E287">
        <v>-176</v>
      </c>
      <c r="F287">
        <v>148</v>
      </c>
      <c r="G287">
        <v>1</v>
      </c>
      <c r="H287">
        <v>1</v>
      </c>
      <c r="I287">
        <v>4</v>
      </c>
      <c r="J287">
        <v>2</v>
      </c>
      <c r="K287">
        <v>3</v>
      </c>
      <c r="L287">
        <v>527</v>
      </c>
      <c r="M287" s="23">
        <f t="shared" si="4"/>
        <v>413895</v>
      </c>
    </row>
    <row r="288" spans="1:13" x14ac:dyDescent="0.25">
      <c r="A288" s="2">
        <v>45362</v>
      </c>
      <c r="B288">
        <v>177</v>
      </c>
      <c r="C288">
        <v>-259</v>
      </c>
      <c r="D288">
        <v>26</v>
      </c>
      <c r="E288">
        <v>124</v>
      </c>
      <c r="F288">
        <v>-55</v>
      </c>
      <c r="G288">
        <v>1</v>
      </c>
      <c r="H288">
        <v>1</v>
      </c>
      <c r="I288">
        <v>4</v>
      </c>
      <c r="J288">
        <v>2</v>
      </c>
      <c r="K288">
        <v>3</v>
      </c>
      <c r="L288">
        <v>-23</v>
      </c>
      <c r="M288" s="23">
        <f t="shared" si="4"/>
        <v>413872</v>
      </c>
    </row>
    <row r="289" spans="1:13" x14ac:dyDescent="0.25">
      <c r="A289" s="2">
        <v>45363</v>
      </c>
      <c r="B289">
        <v>290</v>
      </c>
      <c r="C289">
        <v>325</v>
      </c>
      <c r="D289">
        <v>66</v>
      </c>
      <c r="E289">
        <v>-199</v>
      </c>
      <c r="F289">
        <v>-22</v>
      </c>
      <c r="G289">
        <v>1</v>
      </c>
      <c r="H289">
        <v>1</v>
      </c>
      <c r="I289">
        <v>4</v>
      </c>
      <c r="J289">
        <v>2</v>
      </c>
      <c r="K289">
        <v>3</v>
      </c>
      <c r="L289">
        <v>287</v>
      </c>
      <c r="M289" s="23">
        <f t="shared" si="4"/>
        <v>414159</v>
      </c>
    </row>
    <row r="290" spans="1:13" x14ac:dyDescent="0.25">
      <c r="A290" s="2">
        <v>45364</v>
      </c>
      <c r="B290">
        <v>-197</v>
      </c>
      <c r="C290">
        <v>-24</v>
      </c>
      <c r="D290">
        <v>68</v>
      </c>
      <c r="E290">
        <v>126</v>
      </c>
      <c r="F290">
        <v>55</v>
      </c>
      <c r="G290">
        <v>1</v>
      </c>
      <c r="H290">
        <v>1</v>
      </c>
      <c r="I290">
        <v>4</v>
      </c>
      <c r="J290">
        <v>2</v>
      </c>
      <c r="K290">
        <v>3</v>
      </c>
      <c r="L290">
        <v>340</v>
      </c>
      <c r="M290" s="23">
        <f t="shared" si="4"/>
        <v>414499</v>
      </c>
    </row>
    <row r="291" spans="1:13" x14ac:dyDescent="0.25">
      <c r="A291" s="2">
        <v>45365</v>
      </c>
      <c r="B291">
        <v>-100</v>
      </c>
      <c r="C291">
        <v>327</v>
      </c>
      <c r="D291">
        <v>85</v>
      </c>
      <c r="E291">
        <v>249</v>
      </c>
      <c r="F291">
        <v>-15</v>
      </c>
      <c r="G291">
        <v>1</v>
      </c>
      <c r="H291">
        <v>1</v>
      </c>
      <c r="I291">
        <v>4</v>
      </c>
      <c r="J291">
        <v>2</v>
      </c>
      <c r="K291">
        <v>3</v>
      </c>
      <c r="L291">
        <v>892</v>
      </c>
      <c r="M291" s="23">
        <f t="shared" si="4"/>
        <v>415391</v>
      </c>
    </row>
    <row r="292" spans="1:13" x14ac:dyDescent="0.25">
      <c r="A292" s="2">
        <v>45366</v>
      </c>
      <c r="B292">
        <v>568</v>
      </c>
      <c r="C292">
        <v>323</v>
      </c>
      <c r="D292">
        <v>71</v>
      </c>
      <c r="E292">
        <v>-227</v>
      </c>
      <c r="F292">
        <v>129</v>
      </c>
      <c r="G292">
        <v>1</v>
      </c>
      <c r="H292">
        <v>1</v>
      </c>
      <c r="I292">
        <v>4</v>
      </c>
      <c r="J292">
        <v>2</v>
      </c>
      <c r="K292">
        <v>3</v>
      </c>
      <c r="L292">
        <v>980</v>
      </c>
      <c r="M292" s="23">
        <f t="shared" si="4"/>
        <v>416371</v>
      </c>
    </row>
    <row r="293" spans="1:13" x14ac:dyDescent="0.25">
      <c r="A293" s="2">
        <v>45369</v>
      </c>
      <c r="B293">
        <v>292</v>
      </c>
      <c r="C293">
        <v>333</v>
      </c>
      <c r="D293">
        <v>47</v>
      </c>
      <c r="E293">
        <v>23</v>
      </c>
      <c r="F293">
        <v>130</v>
      </c>
      <c r="G293">
        <v>1</v>
      </c>
      <c r="H293">
        <v>1</v>
      </c>
      <c r="I293">
        <v>4</v>
      </c>
      <c r="J293">
        <v>2</v>
      </c>
      <c r="K293">
        <v>3</v>
      </c>
      <c r="L293">
        <v>1121</v>
      </c>
      <c r="M293" s="23">
        <f t="shared" si="4"/>
        <v>417492</v>
      </c>
    </row>
    <row r="294" spans="1:13" x14ac:dyDescent="0.25">
      <c r="A294" s="2">
        <v>45370</v>
      </c>
      <c r="B294">
        <v>-585</v>
      </c>
      <c r="C294">
        <v>-540</v>
      </c>
      <c r="D294">
        <v>131</v>
      </c>
      <c r="E294">
        <v>249</v>
      </c>
      <c r="F294">
        <v>1</v>
      </c>
      <c r="G294">
        <v>1</v>
      </c>
      <c r="H294">
        <v>1</v>
      </c>
      <c r="I294">
        <v>4</v>
      </c>
      <c r="J294">
        <v>2</v>
      </c>
      <c r="K294">
        <v>3</v>
      </c>
      <c r="L294">
        <v>-228</v>
      </c>
      <c r="M294" s="23">
        <f t="shared" si="4"/>
        <v>417264</v>
      </c>
    </row>
    <row r="295" spans="1:13" x14ac:dyDescent="0.25">
      <c r="A295" s="2">
        <v>45371</v>
      </c>
      <c r="B295">
        <v>18</v>
      </c>
      <c r="C295">
        <v>543</v>
      </c>
      <c r="D295">
        <v>-20</v>
      </c>
      <c r="E295">
        <v>-42</v>
      </c>
      <c r="F295">
        <v>125</v>
      </c>
      <c r="G295">
        <v>1</v>
      </c>
      <c r="H295">
        <v>1</v>
      </c>
      <c r="I295">
        <v>4</v>
      </c>
      <c r="J295">
        <v>2</v>
      </c>
      <c r="K295">
        <v>3</v>
      </c>
      <c r="L295">
        <v>644</v>
      </c>
      <c r="M295" s="23">
        <f t="shared" si="4"/>
        <v>417908</v>
      </c>
    </row>
    <row r="296" spans="1:13" x14ac:dyDescent="0.25">
      <c r="A296" s="2">
        <v>45372</v>
      </c>
      <c r="B296">
        <v>349</v>
      </c>
      <c r="C296">
        <v>388</v>
      </c>
      <c r="D296">
        <v>25</v>
      </c>
      <c r="E296">
        <v>63</v>
      </c>
      <c r="F296">
        <v>-37</v>
      </c>
      <c r="G296">
        <v>1</v>
      </c>
      <c r="H296">
        <v>1</v>
      </c>
      <c r="I296">
        <v>4</v>
      </c>
      <c r="J296">
        <v>2</v>
      </c>
      <c r="K296">
        <v>3</v>
      </c>
      <c r="L296">
        <v>724</v>
      </c>
      <c r="M296" s="23">
        <f t="shared" si="4"/>
        <v>418632</v>
      </c>
    </row>
    <row r="297" spans="1:13" x14ac:dyDescent="0.25">
      <c r="A297" s="2">
        <v>45373</v>
      </c>
      <c r="B297">
        <v>353</v>
      </c>
      <c r="C297">
        <v>402</v>
      </c>
      <c r="D297">
        <v>74</v>
      </c>
      <c r="E297">
        <v>152</v>
      </c>
      <c r="F297">
        <v>194</v>
      </c>
      <c r="G297">
        <v>1</v>
      </c>
      <c r="H297">
        <v>1</v>
      </c>
      <c r="I297">
        <v>4</v>
      </c>
      <c r="J297">
        <v>2</v>
      </c>
      <c r="K297">
        <v>3</v>
      </c>
      <c r="L297">
        <v>1809</v>
      </c>
      <c r="M297" s="23">
        <f t="shared" si="4"/>
        <v>420441</v>
      </c>
    </row>
    <row r="298" spans="1:13" x14ac:dyDescent="0.25">
      <c r="A298" s="2">
        <v>45376</v>
      </c>
      <c r="B298">
        <v>-105</v>
      </c>
      <c r="C298">
        <v>180</v>
      </c>
      <c r="D298">
        <v>76</v>
      </c>
      <c r="E298">
        <v>14</v>
      </c>
      <c r="F298">
        <v>-103</v>
      </c>
      <c r="G298">
        <v>1</v>
      </c>
      <c r="H298">
        <v>1</v>
      </c>
      <c r="I298">
        <v>4</v>
      </c>
      <c r="J298">
        <v>2</v>
      </c>
      <c r="K298">
        <v>3</v>
      </c>
      <c r="L298">
        <v>-30</v>
      </c>
      <c r="M298" s="23">
        <f t="shared" si="4"/>
        <v>420411</v>
      </c>
    </row>
    <row r="299" spans="1:13" x14ac:dyDescent="0.25">
      <c r="A299" s="2">
        <v>45377</v>
      </c>
      <c r="B299">
        <v>88</v>
      </c>
      <c r="C299">
        <v>233</v>
      </c>
      <c r="D299">
        <v>79</v>
      </c>
      <c r="E299">
        <v>-12</v>
      </c>
      <c r="F299">
        <v>28</v>
      </c>
      <c r="G299">
        <v>1</v>
      </c>
      <c r="H299">
        <v>1</v>
      </c>
      <c r="I299">
        <v>4</v>
      </c>
      <c r="J299">
        <v>2</v>
      </c>
      <c r="K299">
        <v>3</v>
      </c>
      <c r="L299">
        <v>569</v>
      </c>
      <c r="M299" s="23">
        <f t="shared" si="4"/>
        <v>420980</v>
      </c>
    </row>
    <row r="300" spans="1:13" x14ac:dyDescent="0.25">
      <c r="A300" s="2">
        <v>45378</v>
      </c>
      <c r="B300">
        <v>694</v>
      </c>
      <c r="C300">
        <v>764</v>
      </c>
      <c r="D300">
        <v>85</v>
      </c>
      <c r="E300">
        <v>-60</v>
      </c>
      <c r="F300">
        <v>269</v>
      </c>
      <c r="G300">
        <v>1</v>
      </c>
      <c r="H300">
        <v>1</v>
      </c>
      <c r="I300">
        <v>4</v>
      </c>
      <c r="J300">
        <v>2</v>
      </c>
      <c r="K300">
        <v>3</v>
      </c>
      <c r="L300">
        <v>2357</v>
      </c>
      <c r="M300" s="23">
        <f t="shared" si="4"/>
        <v>423337</v>
      </c>
    </row>
    <row r="301" spans="1:13" x14ac:dyDescent="0.25">
      <c r="A301" s="2">
        <v>45379</v>
      </c>
      <c r="B301">
        <v>-406</v>
      </c>
      <c r="C301">
        <v>-211</v>
      </c>
      <c r="D301">
        <v>38</v>
      </c>
      <c r="E301">
        <v>282</v>
      </c>
      <c r="F301">
        <v>135</v>
      </c>
      <c r="G301">
        <v>1</v>
      </c>
      <c r="H301">
        <v>1</v>
      </c>
      <c r="I301">
        <v>4</v>
      </c>
      <c r="J301">
        <v>2</v>
      </c>
      <c r="K301">
        <v>3</v>
      </c>
      <c r="L301">
        <v>376</v>
      </c>
      <c r="M301" s="23">
        <f t="shared" si="4"/>
        <v>423713</v>
      </c>
    </row>
    <row r="302" spans="1:13" x14ac:dyDescent="0.25">
      <c r="A302" s="2">
        <v>45380</v>
      </c>
      <c r="B302">
        <v>-319</v>
      </c>
      <c r="C302">
        <v>-271</v>
      </c>
      <c r="D302">
        <v>-8</v>
      </c>
      <c r="E302">
        <v>-36</v>
      </c>
      <c r="F302">
        <v>-271</v>
      </c>
      <c r="G302">
        <v>1</v>
      </c>
      <c r="H302">
        <v>1</v>
      </c>
      <c r="I302">
        <v>4</v>
      </c>
      <c r="J302">
        <v>2</v>
      </c>
      <c r="K302">
        <v>3</v>
      </c>
      <c r="L302">
        <v>-1635</v>
      </c>
      <c r="M302" s="23">
        <f t="shared" si="4"/>
        <v>422078</v>
      </c>
    </row>
    <row r="303" spans="1:13" x14ac:dyDescent="0.25">
      <c r="A303" s="2">
        <v>45383</v>
      </c>
      <c r="B303">
        <v>-293</v>
      </c>
      <c r="C303">
        <v>112</v>
      </c>
      <c r="D303">
        <v>20</v>
      </c>
      <c r="E303">
        <v>-96</v>
      </c>
      <c r="F303">
        <v>281</v>
      </c>
      <c r="G303">
        <v>1</v>
      </c>
      <c r="H303">
        <v>1</v>
      </c>
      <c r="I303">
        <v>4</v>
      </c>
      <c r="J303">
        <v>2</v>
      </c>
      <c r="K303">
        <v>3</v>
      </c>
      <c r="L303">
        <v>422</v>
      </c>
      <c r="M303" s="23">
        <f t="shared" si="4"/>
        <v>422500</v>
      </c>
    </row>
    <row r="304" spans="1:13" x14ac:dyDescent="0.25">
      <c r="A304" s="2">
        <v>45384</v>
      </c>
      <c r="B304">
        <v>29</v>
      </c>
      <c r="C304">
        <v>-351</v>
      </c>
      <c r="D304">
        <v>141</v>
      </c>
      <c r="E304">
        <v>43</v>
      </c>
      <c r="F304">
        <v>285</v>
      </c>
      <c r="G304">
        <v>1</v>
      </c>
      <c r="H304">
        <v>1</v>
      </c>
      <c r="I304">
        <v>4</v>
      </c>
      <c r="J304">
        <v>2</v>
      </c>
      <c r="K304">
        <v>3</v>
      </c>
      <c r="L304">
        <v>1055</v>
      </c>
      <c r="M304" s="23">
        <f t="shared" si="4"/>
        <v>423555</v>
      </c>
    </row>
    <row r="305" spans="1:13" x14ac:dyDescent="0.25">
      <c r="A305" s="2">
        <v>45385</v>
      </c>
      <c r="B305">
        <v>-106</v>
      </c>
      <c r="C305">
        <v>399</v>
      </c>
      <c r="D305">
        <v>84</v>
      </c>
      <c r="E305">
        <v>131</v>
      </c>
      <c r="F305">
        <v>-87</v>
      </c>
      <c r="G305">
        <v>1</v>
      </c>
      <c r="H305">
        <v>1</v>
      </c>
      <c r="I305">
        <v>4</v>
      </c>
      <c r="J305">
        <v>2</v>
      </c>
      <c r="K305">
        <v>3</v>
      </c>
      <c r="L305">
        <v>502</v>
      </c>
      <c r="M305" s="23">
        <f t="shared" si="4"/>
        <v>424057</v>
      </c>
    </row>
    <row r="306" spans="1:13" x14ac:dyDescent="0.25">
      <c r="A306" s="2">
        <v>45386</v>
      </c>
      <c r="B306">
        <v>106</v>
      </c>
      <c r="C306">
        <v>-119</v>
      </c>
      <c r="D306">
        <v>-7</v>
      </c>
      <c r="E306">
        <v>139</v>
      </c>
      <c r="F306">
        <v>113</v>
      </c>
      <c r="G306">
        <v>1</v>
      </c>
      <c r="H306">
        <v>1</v>
      </c>
      <c r="I306">
        <v>4</v>
      </c>
      <c r="J306">
        <v>2</v>
      </c>
      <c r="K306">
        <v>3</v>
      </c>
      <c r="L306">
        <v>448</v>
      </c>
      <c r="M306" s="23">
        <f t="shared" si="4"/>
        <v>424505</v>
      </c>
    </row>
    <row r="307" spans="1:13" x14ac:dyDescent="0.25">
      <c r="A307" s="2">
        <v>45387</v>
      </c>
      <c r="B307">
        <v>-128</v>
      </c>
      <c r="C307">
        <v>32</v>
      </c>
      <c r="D307">
        <v>-103</v>
      </c>
      <c r="E307">
        <v>-80</v>
      </c>
      <c r="F307">
        <v>135</v>
      </c>
      <c r="G307">
        <v>1</v>
      </c>
      <c r="H307">
        <v>1</v>
      </c>
      <c r="I307">
        <v>4</v>
      </c>
      <c r="J307">
        <v>2</v>
      </c>
      <c r="K307">
        <v>3</v>
      </c>
      <c r="L307">
        <v>-391</v>
      </c>
      <c r="M307" s="23">
        <f t="shared" si="4"/>
        <v>424114</v>
      </c>
    </row>
    <row r="308" spans="1:13" x14ac:dyDescent="0.25">
      <c r="A308" s="2">
        <v>45390</v>
      </c>
      <c r="B308">
        <v>100</v>
      </c>
      <c r="C308">
        <v>-342</v>
      </c>
      <c r="D308">
        <v>-6</v>
      </c>
      <c r="E308">
        <v>74</v>
      </c>
      <c r="F308">
        <v>139</v>
      </c>
      <c r="G308">
        <v>1</v>
      </c>
      <c r="H308">
        <v>1</v>
      </c>
      <c r="I308">
        <v>4</v>
      </c>
      <c r="J308">
        <v>2</v>
      </c>
      <c r="K308">
        <v>3</v>
      </c>
      <c r="L308">
        <v>171</v>
      </c>
      <c r="M308" s="23">
        <f t="shared" si="4"/>
        <v>424285</v>
      </c>
    </row>
    <row r="309" spans="1:13" x14ac:dyDescent="0.25">
      <c r="A309" s="2">
        <v>45391</v>
      </c>
      <c r="B309">
        <v>369</v>
      </c>
      <c r="C309">
        <v>425</v>
      </c>
      <c r="D309">
        <v>51</v>
      </c>
      <c r="E309">
        <v>-72</v>
      </c>
      <c r="F309">
        <v>-47</v>
      </c>
      <c r="G309">
        <v>1</v>
      </c>
      <c r="H309">
        <v>1</v>
      </c>
      <c r="I309">
        <v>4</v>
      </c>
      <c r="J309">
        <v>2</v>
      </c>
      <c r="K309">
        <v>3</v>
      </c>
      <c r="L309">
        <v>585</v>
      </c>
      <c r="M309" s="23">
        <f t="shared" si="4"/>
        <v>424870</v>
      </c>
    </row>
    <row r="310" spans="1:13" x14ac:dyDescent="0.25">
      <c r="A310" s="2">
        <v>45392</v>
      </c>
      <c r="B310">
        <v>538</v>
      </c>
      <c r="C310">
        <v>316</v>
      </c>
      <c r="D310">
        <v>-71</v>
      </c>
      <c r="E310">
        <v>41</v>
      </c>
      <c r="F310">
        <v>-46</v>
      </c>
      <c r="G310">
        <v>1</v>
      </c>
      <c r="H310">
        <v>1</v>
      </c>
      <c r="I310">
        <v>4</v>
      </c>
      <c r="J310">
        <v>2</v>
      </c>
      <c r="K310">
        <v>3</v>
      </c>
      <c r="L310">
        <v>386</v>
      </c>
      <c r="M310" s="23">
        <f t="shared" si="4"/>
        <v>425256</v>
      </c>
    </row>
    <row r="311" spans="1:13" x14ac:dyDescent="0.25">
      <c r="A311" s="2">
        <v>45393</v>
      </c>
      <c r="B311">
        <v>269</v>
      </c>
      <c r="C311">
        <v>563</v>
      </c>
      <c r="D311">
        <v>138</v>
      </c>
      <c r="E311">
        <v>-41</v>
      </c>
      <c r="F311">
        <v>239</v>
      </c>
      <c r="G311">
        <v>1</v>
      </c>
      <c r="H311">
        <v>1</v>
      </c>
      <c r="I311">
        <v>4</v>
      </c>
      <c r="J311">
        <v>2</v>
      </c>
      <c r="K311">
        <v>3</v>
      </c>
      <c r="L311">
        <v>1891</v>
      </c>
      <c r="M311" s="23">
        <f t="shared" si="4"/>
        <v>427147</v>
      </c>
    </row>
    <row r="312" spans="1:13" x14ac:dyDescent="0.25">
      <c r="A312" s="2">
        <v>45394</v>
      </c>
      <c r="B312">
        <v>333</v>
      </c>
      <c r="C312">
        <v>650</v>
      </c>
      <c r="D312">
        <v>89</v>
      </c>
      <c r="E312">
        <v>-82</v>
      </c>
      <c r="F312">
        <v>133</v>
      </c>
      <c r="G312">
        <v>1</v>
      </c>
      <c r="H312">
        <v>1</v>
      </c>
      <c r="I312">
        <v>4</v>
      </c>
      <c r="J312">
        <v>2</v>
      </c>
      <c r="K312">
        <v>3</v>
      </c>
      <c r="L312">
        <v>1446</v>
      </c>
      <c r="M312" s="23">
        <f t="shared" si="4"/>
        <v>428593</v>
      </c>
    </row>
    <row r="313" spans="1:13" x14ac:dyDescent="0.25">
      <c r="A313" s="2">
        <v>45397</v>
      </c>
      <c r="B313">
        <v>-426</v>
      </c>
      <c r="C313">
        <v>-13</v>
      </c>
      <c r="D313">
        <v>177</v>
      </c>
      <c r="E313">
        <v>-50</v>
      </c>
      <c r="F313">
        <v>-10</v>
      </c>
      <c r="G313">
        <v>1</v>
      </c>
      <c r="H313">
        <v>1</v>
      </c>
      <c r="I313">
        <v>4</v>
      </c>
      <c r="J313">
        <v>2</v>
      </c>
      <c r="K313">
        <v>3</v>
      </c>
      <c r="L313">
        <v>11</v>
      </c>
      <c r="M313" s="23">
        <f t="shared" si="4"/>
        <v>428604</v>
      </c>
    </row>
    <row r="314" spans="1:13" x14ac:dyDescent="0.25">
      <c r="A314" s="2">
        <v>45398</v>
      </c>
      <c r="B314">
        <v>524</v>
      </c>
      <c r="C314">
        <v>326</v>
      </c>
      <c r="D314">
        <v>-58</v>
      </c>
      <c r="E314">
        <v>43</v>
      </c>
      <c r="F314">
        <v>84</v>
      </c>
      <c r="G314">
        <v>1</v>
      </c>
      <c r="H314">
        <v>1</v>
      </c>
      <c r="I314">
        <v>4</v>
      </c>
      <c r="J314">
        <v>2</v>
      </c>
      <c r="K314">
        <v>3</v>
      </c>
      <c r="L314">
        <v>828</v>
      </c>
      <c r="M314" s="23">
        <f t="shared" si="4"/>
        <v>429432</v>
      </c>
    </row>
    <row r="315" spans="1:13" x14ac:dyDescent="0.25">
      <c r="A315" s="2">
        <v>45399</v>
      </c>
      <c r="B315">
        <v>265</v>
      </c>
      <c r="C315">
        <v>323</v>
      </c>
      <c r="D315">
        <v>2</v>
      </c>
      <c r="E315">
        <v>115</v>
      </c>
      <c r="F315">
        <v>107</v>
      </c>
      <c r="G315">
        <v>1</v>
      </c>
      <c r="H315">
        <v>1</v>
      </c>
      <c r="I315">
        <v>4</v>
      </c>
      <c r="J315">
        <v>2</v>
      </c>
      <c r="K315">
        <v>3</v>
      </c>
      <c r="L315">
        <v>1019</v>
      </c>
      <c r="M315" s="23">
        <f t="shared" si="4"/>
        <v>430451</v>
      </c>
    </row>
    <row r="316" spans="1:13" x14ac:dyDescent="0.25">
      <c r="A316" s="2">
        <v>45400</v>
      </c>
      <c r="B316">
        <v>521</v>
      </c>
      <c r="C316">
        <v>315</v>
      </c>
      <c r="D316">
        <v>45</v>
      </c>
      <c r="E316">
        <v>-134</v>
      </c>
      <c r="F316">
        <v>250</v>
      </c>
      <c r="G316">
        <v>1</v>
      </c>
      <c r="H316">
        <v>1</v>
      </c>
      <c r="I316">
        <v>4</v>
      </c>
      <c r="J316">
        <v>2</v>
      </c>
      <c r="K316">
        <v>3</v>
      </c>
      <c r="L316">
        <v>1370</v>
      </c>
      <c r="M316" s="23">
        <f t="shared" si="4"/>
        <v>431821</v>
      </c>
    </row>
    <row r="317" spans="1:13" x14ac:dyDescent="0.25">
      <c r="A317" s="2">
        <v>45401</v>
      </c>
      <c r="B317">
        <v>523</v>
      </c>
      <c r="C317">
        <v>379</v>
      </c>
      <c r="D317">
        <v>144</v>
      </c>
      <c r="E317">
        <v>121</v>
      </c>
      <c r="F317">
        <v>33</v>
      </c>
      <c r="G317">
        <v>1</v>
      </c>
      <c r="H317">
        <v>1</v>
      </c>
      <c r="I317">
        <v>4</v>
      </c>
      <c r="J317">
        <v>2</v>
      </c>
      <c r="K317">
        <v>3</v>
      </c>
      <c r="L317">
        <v>1691</v>
      </c>
      <c r="M317" s="23">
        <f t="shared" si="4"/>
        <v>433512</v>
      </c>
    </row>
    <row r="318" spans="1:13" x14ac:dyDescent="0.25">
      <c r="A318" s="2">
        <v>45404</v>
      </c>
      <c r="B318">
        <v>98</v>
      </c>
      <c r="C318">
        <v>220</v>
      </c>
      <c r="D318">
        <v>-102</v>
      </c>
      <c r="E318">
        <v>117</v>
      </c>
      <c r="F318">
        <v>61</v>
      </c>
      <c r="G318">
        <v>1</v>
      </c>
      <c r="H318">
        <v>1</v>
      </c>
      <c r="I318">
        <v>4</v>
      </c>
      <c r="J318">
        <v>2</v>
      </c>
      <c r="K318">
        <v>3</v>
      </c>
      <c r="L318">
        <v>199</v>
      </c>
      <c r="M318" s="23">
        <f t="shared" si="4"/>
        <v>433711</v>
      </c>
    </row>
    <row r="319" spans="1:13" x14ac:dyDescent="0.25">
      <c r="A319" s="2">
        <v>45405</v>
      </c>
      <c r="B319">
        <v>354</v>
      </c>
      <c r="C319">
        <v>-77</v>
      </c>
      <c r="D319">
        <v>175</v>
      </c>
      <c r="E319">
        <v>128</v>
      </c>
      <c r="F319">
        <v>262</v>
      </c>
      <c r="G319">
        <v>1</v>
      </c>
      <c r="H319">
        <v>1</v>
      </c>
      <c r="I319">
        <v>4</v>
      </c>
      <c r="J319">
        <v>2</v>
      </c>
      <c r="K319">
        <v>3</v>
      </c>
      <c r="L319">
        <v>1891</v>
      </c>
      <c r="M319" s="23">
        <f t="shared" si="4"/>
        <v>435602</v>
      </c>
    </row>
    <row r="320" spans="1:13" x14ac:dyDescent="0.25">
      <c r="A320" s="2">
        <v>45406</v>
      </c>
      <c r="B320">
        <v>513</v>
      </c>
      <c r="C320">
        <v>304</v>
      </c>
      <c r="D320">
        <v>95</v>
      </c>
      <c r="E320">
        <v>45</v>
      </c>
      <c r="F320">
        <v>13</v>
      </c>
      <c r="G320">
        <v>1</v>
      </c>
      <c r="H320">
        <v>1</v>
      </c>
      <c r="I320">
        <v>4</v>
      </c>
      <c r="J320">
        <v>2</v>
      </c>
      <c r="K320">
        <v>3</v>
      </c>
      <c r="L320">
        <v>1198</v>
      </c>
      <c r="M320" s="23">
        <f t="shared" si="4"/>
        <v>436800</v>
      </c>
    </row>
    <row r="321" spans="1:13" x14ac:dyDescent="0.25">
      <c r="A321" s="2">
        <v>45407</v>
      </c>
      <c r="B321">
        <v>104</v>
      </c>
      <c r="C321">
        <v>-3</v>
      </c>
      <c r="D321">
        <v>-21</v>
      </c>
      <c r="E321">
        <v>19</v>
      </c>
      <c r="F321">
        <v>129</v>
      </c>
      <c r="G321">
        <v>1</v>
      </c>
      <c r="H321">
        <v>1</v>
      </c>
      <c r="I321">
        <v>4</v>
      </c>
      <c r="J321">
        <v>2</v>
      </c>
      <c r="K321">
        <v>3</v>
      </c>
      <c r="L321">
        <v>314</v>
      </c>
      <c r="M321" s="23">
        <f t="shared" si="4"/>
        <v>437114</v>
      </c>
    </row>
    <row r="322" spans="1:13" x14ac:dyDescent="0.25">
      <c r="A322" s="2">
        <v>45408</v>
      </c>
      <c r="B322">
        <v>492</v>
      </c>
      <c r="C322">
        <v>595</v>
      </c>
      <c r="D322">
        <v>87</v>
      </c>
      <c r="E322">
        <v>67</v>
      </c>
      <c r="F322">
        <v>141</v>
      </c>
      <c r="G322">
        <v>1</v>
      </c>
      <c r="H322">
        <v>1</v>
      </c>
      <c r="I322">
        <v>4</v>
      </c>
      <c r="J322">
        <v>2</v>
      </c>
      <c r="K322">
        <v>3</v>
      </c>
      <c r="L322">
        <v>1864</v>
      </c>
      <c r="M322" s="23">
        <f t="shared" si="4"/>
        <v>438978</v>
      </c>
    </row>
    <row r="323" spans="1:13" x14ac:dyDescent="0.25">
      <c r="A323" s="2">
        <v>45409</v>
      </c>
      <c r="B323">
        <v>257</v>
      </c>
      <c r="C323">
        <v>317</v>
      </c>
      <c r="D323">
        <v>-168</v>
      </c>
      <c r="E323">
        <v>-37</v>
      </c>
      <c r="F323">
        <v>151</v>
      </c>
      <c r="G323">
        <v>1</v>
      </c>
      <c r="H323">
        <v>1</v>
      </c>
      <c r="I323">
        <v>4</v>
      </c>
      <c r="J323">
        <v>2</v>
      </c>
      <c r="K323">
        <v>3</v>
      </c>
      <c r="L323">
        <v>153</v>
      </c>
      <c r="M323" s="23">
        <f t="shared" si="4"/>
        <v>439131</v>
      </c>
    </row>
    <row r="324" spans="1:13" x14ac:dyDescent="0.25">
      <c r="A324" s="2">
        <v>45411</v>
      </c>
      <c r="B324">
        <v>335</v>
      </c>
      <c r="C324">
        <v>-12</v>
      </c>
      <c r="D324">
        <v>-39</v>
      </c>
      <c r="E324">
        <v>65</v>
      </c>
      <c r="F324">
        <v>138</v>
      </c>
      <c r="G324">
        <v>1</v>
      </c>
      <c r="H324">
        <v>1</v>
      </c>
      <c r="I324">
        <v>4</v>
      </c>
      <c r="J324">
        <v>2</v>
      </c>
      <c r="K324">
        <v>3</v>
      </c>
      <c r="L324">
        <v>583</v>
      </c>
      <c r="M324" s="23">
        <f t="shared" ref="M324:M387" si="5">M323+L324</f>
        <v>439714</v>
      </c>
    </row>
    <row r="325" spans="1:13" x14ac:dyDescent="0.25">
      <c r="A325" s="2">
        <v>45412</v>
      </c>
      <c r="B325">
        <v>-178</v>
      </c>
      <c r="C325">
        <v>325</v>
      </c>
      <c r="D325">
        <v>72</v>
      </c>
      <c r="E325">
        <v>80</v>
      </c>
      <c r="F325">
        <v>157</v>
      </c>
      <c r="G325">
        <v>1</v>
      </c>
      <c r="H325">
        <v>1</v>
      </c>
      <c r="I325">
        <v>4</v>
      </c>
      <c r="J325">
        <v>2</v>
      </c>
      <c r="K325">
        <v>3</v>
      </c>
      <c r="L325">
        <v>938</v>
      </c>
      <c r="M325" s="23">
        <f t="shared" si="5"/>
        <v>440652</v>
      </c>
    </row>
    <row r="326" spans="1:13" x14ac:dyDescent="0.25">
      <c r="A326" s="2">
        <v>45414</v>
      </c>
      <c r="B326">
        <v>517</v>
      </c>
      <c r="C326">
        <v>583</v>
      </c>
      <c r="D326">
        <v>172</v>
      </c>
      <c r="E326">
        <v>144</v>
      </c>
      <c r="F326">
        <v>-92</v>
      </c>
      <c r="G326">
        <v>1</v>
      </c>
      <c r="H326">
        <v>1</v>
      </c>
      <c r="I326">
        <v>4</v>
      </c>
      <c r="J326">
        <v>2</v>
      </c>
      <c r="K326">
        <v>3</v>
      </c>
      <c r="L326">
        <v>1672</v>
      </c>
      <c r="M326" s="23">
        <f t="shared" si="5"/>
        <v>442324</v>
      </c>
    </row>
    <row r="327" spans="1:13" x14ac:dyDescent="0.25">
      <c r="A327" s="2">
        <v>45415</v>
      </c>
      <c r="B327">
        <v>111</v>
      </c>
      <c r="C327">
        <v>-118</v>
      </c>
      <c r="D327">
        <v>227</v>
      </c>
      <c r="E327">
        <v>7</v>
      </c>
      <c r="F327">
        <v>44</v>
      </c>
      <c r="G327">
        <v>1</v>
      </c>
      <c r="H327">
        <v>1</v>
      </c>
      <c r="I327">
        <v>4</v>
      </c>
      <c r="J327">
        <v>2</v>
      </c>
      <c r="K327">
        <v>3</v>
      </c>
      <c r="L327">
        <v>919</v>
      </c>
      <c r="M327" s="23">
        <f t="shared" si="5"/>
        <v>443243</v>
      </c>
    </row>
    <row r="328" spans="1:13" x14ac:dyDescent="0.25">
      <c r="A328" s="2">
        <v>45418</v>
      </c>
      <c r="B328">
        <v>514</v>
      </c>
      <c r="C328">
        <v>328</v>
      </c>
      <c r="D328">
        <v>163</v>
      </c>
      <c r="E328">
        <v>246</v>
      </c>
      <c r="F328">
        <v>254</v>
      </c>
      <c r="G328">
        <v>1</v>
      </c>
      <c r="H328">
        <v>1</v>
      </c>
      <c r="I328">
        <v>4</v>
      </c>
      <c r="J328">
        <v>2</v>
      </c>
      <c r="K328">
        <v>3</v>
      </c>
      <c r="L328">
        <v>2620</v>
      </c>
      <c r="M328" s="23">
        <f t="shared" si="5"/>
        <v>445863</v>
      </c>
    </row>
    <row r="329" spans="1:13" x14ac:dyDescent="0.25">
      <c r="A329" s="2">
        <v>45419</v>
      </c>
      <c r="B329">
        <v>28</v>
      </c>
      <c r="C329">
        <v>-56</v>
      </c>
      <c r="D329">
        <v>-9</v>
      </c>
      <c r="E329">
        <v>-233</v>
      </c>
      <c r="F329">
        <v>135</v>
      </c>
      <c r="G329">
        <v>1</v>
      </c>
      <c r="H329">
        <v>1</v>
      </c>
      <c r="I329">
        <v>4</v>
      </c>
      <c r="J329">
        <v>2</v>
      </c>
      <c r="K329">
        <v>3</v>
      </c>
      <c r="L329">
        <v>-253</v>
      </c>
      <c r="M329" s="23">
        <f t="shared" si="5"/>
        <v>445610</v>
      </c>
    </row>
    <row r="330" spans="1:13" x14ac:dyDescent="0.25">
      <c r="A330" s="2">
        <v>45420</v>
      </c>
      <c r="B330">
        <v>-433</v>
      </c>
      <c r="C330">
        <v>-424</v>
      </c>
      <c r="D330">
        <v>-4</v>
      </c>
      <c r="E330">
        <v>242</v>
      </c>
      <c r="F330">
        <v>136</v>
      </c>
      <c r="G330">
        <v>1</v>
      </c>
      <c r="H330">
        <v>1</v>
      </c>
      <c r="I330">
        <v>4</v>
      </c>
      <c r="J330">
        <v>2</v>
      </c>
      <c r="K330">
        <v>3</v>
      </c>
      <c r="L330">
        <v>-109</v>
      </c>
      <c r="M330" s="23">
        <f t="shared" si="5"/>
        <v>445501</v>
      </c>
    </row>
    <row r="331" spans="1:13" x14ac:dyDescent="0.25">
      <c r="A331" s="2">
        <v>45422</v>
      </c>
      <c r="B331">
        <v>166</v>
      </c>
      <c r="C331">
        <v>93</v>
      </c>
      <c r="D331">
        <v>-23</v>
      </c>
      <c r="E331">
        <v>194</v>
      </c>
      <c r="F331">
        <v>-143</v>
      </c>
      <c r="G331">
        <v>1</v>
      </c>
      <c r="H331">
        <v>1</v>
      </c>
      <c r="I331">
        <v>4</v>
      </c>
      <c r="J331">
        <v>2</v>
      </c>
      <c r="K331">
        <v>3</v>
      </c>
      <c r="L331">
        <v>-2</v>
      </c>
      <c r="M331" s="23">
        <f t="shared" si="5"/>
        <v>445499</v>
      </c>
    </row>
    <row r="332" spans="1:13" x14ac:dyDescent="0.25">
      <c r="A332" s="2">
        <v>45425</v>
      </c>
      <c r="B332">
        <v>259</v>
      </c>
      <c r="C332">
        <v>316</v>
      </c>
      <c r="D332">
        <v>193</v>
      </c>
      <c r="E332">
        <v>62</v>
      </c>
      <c r="F332">
        <v>-59</v>
      </c>
      <c r="G332">
        <v>1</v>
      </c>
      <c r="H332">
        <v>1</v>
      </c>
      <c r="I332">
        <v>4</v>
      </c>
      <c r="J332">
        <v>2</v>
      </c>
      <c r="K332">
        <v>3</v>
      </c>
      <c r="L332">
        <v>1166</v>
      </c>
      <c r="M332" s="23">
        <f t="shared" si="5"/>
        <v>446665</v>
      </c>
    </row>
    <row r="333" spans="1:13" x14ac:dyDescent="0.25">
      <c r="A333" s="2">
        <v>45426</v>
      </c>
      <c r="B333">
        <v>-124</v>
      </c>
      <c r="C333">
        <v>-442</v>
      </c>
      <c r="D333">
        <v>99</v>
      </c>
      <c r="E333">
        <v>231</v>
      </c>
      <c r="F333">
        <v>-65</v>
      </c>
      <c r="G333">
        <v>1</v>
      </c>
      <c r="H333">
        <v>1</v>
      </c>
      <c r="I333">
        <v>4</v>
      </c>
      <c r="J333">
        <v>2</v>
      </c>
      <c r="K333">
        <v>3</v>
      </c>
      <c r="L333">
        <v>-31</v>
      </c>
      <c r="M333" s="23">
        <f t="shared" si="5"/>
        <v>446634</v>
      </c>
    </row>
    <row r="334" spans="1:13" x14ac:dyDescent="0.25">
      <c r="A334" s="2">
        <v>45427</v>
      </c>
      <c r="B334">
        <v>260</v>
      </c>
      <c r="C334">
        <v>58</v>
      </c>
      <c r="D334">
        <v>-5</v>
      </c>
      <c r="E334">
        <v>212</v>
      </c>
      <c r="F334">
        <v>-30</v>
      </c>
      <c r="G334">
        <v>1</v>
      </c>
      <c r="H334">
        <v>1</v>
      </c>
      <c r="I334">
        <v>4</v>
      </c>
      <c r="J334">
        <v>2</v>
      </c>
      <c r="K334">
        <v>3</v>
      </c>
      <c r="L334">
        <v>504</v>
      </c>
      <c r="M334" s="23">
        <f t="shared" si="5"/>
        <v>447138</v>
      </c>
    </row>
    <row r="335" spans="1:13" x14ac:dyDescent="0.25">
      <c r="A335" s="2">
        <v>45428</v>
      </c>
      <c r="B335">
        <v>93</v>
      </c>
      <c r="C335">
        <v>149</v>
      </c>
      <c r="D335">
        <v>70</v>
      </c>
      <c r="E335">
        <v>235</v>
      </c>
      <c r="F335">
        <v>127</v>
      </c>
      <c r="G335">
        <v>1</v>
      </c>
      <c r="H335">
        <v>1</v>
      </c>
      <c r="I335">
        <v>4</v>
      </c>
      <c r="J335">
        <v>2</v>
      </c>
      <c r="K335">
        <v>3</v>
      </c>
      <c r="L335">
        <v>1245</v>
      </c>
      <c r="M335" s="23">
        <f t="shared" si="5"/>
        <v>448383</v>
      </c>
    </row>
    <row r="336" spans="1:13" x14ac:dyDescent="0.25">
      <c r="A336" s="2">
        <v>45429</v>
      </c>
      <c r="B336">
        <v>238</v>
      </c>
      <c r="C336">
        <v>142</v>
      </c>
      <c r="D336">
        <v>93</v>
      </c>
      <c r="E336">
        <v>-34</v>
      </c>
      <c r="F336">
        <v>48</v>
      </c>
      <c r="G336">
        <v>1</v>
      </c>
      <c r="H336">
        <v>1</v>
      </c>
      <c r="I336">
        <v>4</v>
      </c>
      <c r="J336">
        <v>2</v>
      </c>
      <c r="K336">
        <v>3</v>
      </c>
      <c r="L336">
        <v>700</v>
      </c>
      <c r="M336" s="23">
        <f t="shared" si="5"/>
        <v>449083</v>
      </c>
    </row>
    <row r="337" spans="1:13" x14ac:dyDescent="0.25">
      <c r="A337" s="2">
        <v>45432</v>
      </c>
      <c r="B337">
        <v>157</v>
      </c>
      <c r="C337">
        <v>399</v>
      </c>
      <c r="D337">
        <v>192</v>
      </c>
      <c r="E337">
        <v>236</v>
      </c>
      <c r="F337">
        <v>128</v>
      </c>
      <c r="G337">
        <v>1</v>
      </c>
      <c r="H337">
        <v>1</v>
      </c>
      <c r="I337">
        <v>4</v>
      </c>
      <c r="J337">
        <v>2</v>
      </c>
      <c r="K337">
        <v>3</v>
      </c>
      <c r="L337">
        <v>2052</v>
      </c>
      <c r="M337" s="23">
        <f t="shared" si="5"/>
        <v>451135</v>
      </c>
    </row>
    <row r="338" spans="1:13" x14ac:dyDescent="0.25">
      <c r="A338" s="2">
        <v>45433</v>
      </c>
      <c r="B338">
        <v>491</v>
      </c>
      <c r="C338">
        <v>567</v>
      </c>
      <c r="D338">
        <v>231</v>
      </c>
      <c r="E338">
        <v>189</v>
      </c>
      <c r="F338">
        <v>-214</v>
      </c>
      <c r="G338">
        <v>1</v>
      </c>
      <c r="H338">
        <v>1</v>
      </c>
      <c r="I338">
        <v>4</v>
      </c>
      <c r="J338">
        <v>2</v>
      </c>
      <c r="K338">
        <v>3</v>
      </c>
      <c r="L338">
        <v>1590</v>
      </c>
      <c r="M338" s="23">
        <f t="shared" si="5"/>
        <v>452725</v>
      </c>
    </row>
    <row r="339" spans="1:13" x14ac:dyDescent="0.25">
      <c r="A339" s="2">
        <v>45434</v>
      </c>
      <c r="B339">
        <v>-357</v>
      </c>
      <c r="C339">
        <v>-82</v>
      </c>
      <c r="D339">
        <v>66</v>
      </c>
      <c r="E339">
        <v>-157</v>
      </c>
      <c r="F339">
        <v>140</v>
      </c>
      <c r="G339">
        <v>1</v>
      </c>
      <c r="H339">
        <v>1</v>
      </c>
      <c r="I339">
        <v>4</v>
      </c>
      <c r="J339">
        <v>2</v>
      </c>
      <c r="K339">
        <v>3</v>
      </c>
      <c r="L339">
        <v>-197</v>
      </c>
      <c r="M339" s="23">
        <f t="shared" si="5"/>
        <v>452528</v>
      </c>
    </row>
    <row r="340" spans="1:13" x14ac:dyDescent="0.25">
      <c r="A340" s="2">
        <v>45435</v>
      </c>
      <c r="B340">
        <v>249</v>
      </c>
      <c r="C340">
        <v>554</v>
      </c>
      <c r="D340">
        <v>253</v>
      </c>
      <c r="E340">
        <v>94</v>
      </c>
      <c r="F340">
        <v>30</v>
      </c>
      <c r="G340">
        <v>1</v>
      </c>
      <c r="H340">
        <v>1</v>
      </c>
      <c r="I340">
        <v>4</v>
      </c>
      <c r="J340">
        <v>2</v>
      </c>
      <c r="K340">
        <v>3</v>
      </c>
      <c r="L340">
        <v>1965</v>
      </c>
      <c r="M340" s="23">
        <f t="shared" si="5"/>
        <v>454493</v>
      </c>
    </row>
    <row r="341" spans="1:13" x14ac:dyDescent="0.25">
      <c r="A341" s="2">
        <v>45436</v>
      </c>
      <c r="B341">
        <v>298</v>
      </c>
      <c r="C341">
        <v>50</v>
      </c>
      <c r="D341">
        <v>183</v>
      </c>
      <c r="E341">
        <v>124</v>
      </c>
      <c r="F341">
        <v>-70</v>
      </c>
      <c r="G341">
        <v>1</v>
      </c>
      <c r="H341">
        <v>1</v>
      </c>
      <c r="I341">
        <v>4</v>
      </c>
      <c r="J341">
        <v>2</v>
      </c>
      <c r="K341">
        <v>3</v>
      </c>
      <c r="L341">
        <v>990</v>
      </c>
      <c r="M341" s="23">
        <f t="shared" si="5"/>
        <v>455483</v>
      </c>
    </row>
    <row r="342" spans="1:13" x14ac:dyDescent="0.25">
      <c r="A342" s="2">
        <v>45439</v>
      </c>
      <c r="B342">
        <v>487</v>
      </c>
      <c r="C342">
        <v>542</v>
      </c>
      <c r="D342">
        <v>268</v>
      </c>
      <c r="E342">
        <v>255</v>
      </c>
      <c r="F342">
        <v>-84</v>
      </c>
      <c r="G342">
        <v>1</v>
      </c>
      <c r="H342">
        <v>1</v>
      </c>
      <c r="I342">
        <v>4</v>
      </c>
      <c r="J342">
        <v>2</v>
      </c>
      <c r="K342">
        <v>3</v>
      </c>
      <c r="L342">
        <v>2231</v>
      </c>
      <c r="M342" s="23">
        <f t="shared" si="5"/>
        <v>457714</v>
      </c>
    </row>
    <row r="343" spans="1:13" x14ac:dyDescent="0.25">
      <c r="A343" s="2">
        <v>45440</v>
      </c>
      <c r="B343">
        <v>-291</v>
      </c>
      <c r="C343">
        <v>-73</v>
      </c>
      <c r="D343">
        <v>-33</v>
      </c>
      <c r="E343">
        <v>-34</v>
      </c>
      <c r="F343">
        <v>-102</v>
      </c>
      <c r="G343">
        <v>1</v>
      </c>
      <c r="H343">
        <v>1</v>
      </c>
      <c r="I343">
        <v>4</v>
      </c>
      <c r="J343">
        <v>2</v>
      </c>
      <c r="K343">
        <v>3</v>
      </c>
      <c r="L343">
        <v>-998</v>
      </c>
      <c r="M343" s="23">
        <f t="shared" si="5"/>
        <v>456716</v>
      </c>
    </row>
    <row r="344" spans="1:13" x14ac:dyDescent="0.25">
      <c r="A344" s="2">
        <v>45441</v>
      </c>
      <c r="B344">
        <v>510</v>
      </c>
      <c r="C344">
        <v>556</v>
      </c>
      <c r="D344">
        <v>-28</v>
      </c>
      <c r="E344">
        <v>165</v>
      </c>
      <c r="F344">
        <v>296</v>
      </c>
      <c r="G344">
        <v>1</v>
      </c>
      <c r="H344">
        <v>1</v>
      </c>
      <c r="I344">
        <v>4</v>
      </c>
      <c r="J344">
        <v>2</v>
      </c>
      <c r="K344">
        <v>3</v>
      </c>
      <c r="L344">
        <v>2044</v>
      </c>
      <c r="M344" s="23">
        <f t="shared" si="5"/>
        <v>458760</v>
      </c>
    </row>
    <row r="345" spans="1:13" x14ac:dyDescent="0.25">
      <c r="A345" s="2">
        <v>45442</v>
      </c>
      <c r="B345">
        <v>117</v>
      </c>
      <c r="C345">
        <v>534</v>
      </c>
      <c r="D345">
        <v>143</v>
      </c>
      <c r="E345">
        <v>141</v>
      </c>
      <c r="F345">
        <v>-72</v>
      </c>
      <c r="G345">
        <v>1</v>
      </c>
      <c r="H345">
        <v>1</v>
      </c>
      <c r="I345">
        <v>4</v>
      </c>
      <c r="J345">
        <v>2</v>
      </c>
      <c r="K345">
        <v>3</v>
      </c>
      <c r="L345">
        <v>1161</v>
      </c>
      <c r="M345" s="23">
        <f t="shared" si="5"/>
        <v>459921</v>
      </c>
    </row>
    <row r="346" spans="1:13" x14ac:dyDescent="0.25">
      <c r="A346" s="2">
        <v>45443</v>
      </c>
      <c r="B346">
        <v>260</v>
      </c>
      <c r="C346">
        <v>286</v>
      </c>
      <c r="D346">
        <v>29</v>
      </c>
      <c r="E346">
        <v>290</v>
      </c>
      <c r="F346">
        <v>315</v>
      </c>
      <c r="G346">
        <v>1</v>
      </c>
      <c r="H346">
        <v>1</v>
      </c>
      <c r="I346">
        <v>4</v>
      </c>
      <c r="J346">
        <v>2</v>
      </c>
      <c r="K346">
        <v>3</v>
      </c>
      <c r="L346">
        <v>2059</v>
      </c>
      <c r="M346" s="23">
        <f t="shared" si="5"/>
        <v>461980</v>
      </c>
    </row>
    <row r="347" spans="1:13" x14ac:dyDescent="0.25">
      <c r="A347" s="2">
        <v>45446</v>
      </c>
      <c r="B347">
        <v>524</v>
      </c>
      <c r="C347">
        <v>570</v>
      </c>
      <c r="D347">
        <v>146</v>
      </c>
      <c r="E347">
        <v>310</v>
      </c>
      <c r="F347">
        <v>107</v>
      </c>
      <c r="G347">
        <v>1</v>
      </c>
      <c r="H347">
        <v>1</v>
      </c>
      <c r="I347">
        <v>4</v>
      </c>
      <c r="J347">
        <v>2</v>
      </c>
      <c r="K347">
        <v>3</v>
      </c>
      <c r="L347">
        <v>2491</v>
      </c>
      <c r="M347" s="23">
        <f t="shared" si="5"/>
        <v>464471</v>
      </c>
    </row>
    <row r="348" spans="1:13" x14ac:dyDescent="0.25">
      <c r="A348" s="2">
        <v>45447</v>
      </c>
      <c r="B348">
        <v>553</v>
      </c>
      <c r="C348">
        <v>605</v>
      </c>
      <c r="D348">
        <v>-59</v>
      </c>
      <c r="E348">
        <v>169</v>
      </c>
      <c r="F348">
        <v>194</v>
      </c>
      <c r="G348">
        <v>1</v>
      </c>
      <c r="H348">
        <v>1</v>
      </c>
      <c r="I348">
        <v>4</v>
      </c>
      <c r="J348">
        <v>2</v>
      </c>
      <c r="K348">
        <v>3</v>
      </c>
      <c r="L348">
        <v>1714</v>
      </c>
      <c r="M348" s="23">
        <f t="shared" si="5"/>
        <v>466185</v>
      </c>
    </row>
    <row r="349" spans="1:13" x14ac:dyDescent="0.25">
      <c r="A349" s="2">
        <v>45448</v>
      </c>
      <c r="B349">
        <v>99</v>
      </c>
      <c r="C349">
        <v>246</v>
      </c>
      <c r="D349">
        <v>146</v>
      </c>
      <c r="E349">
        <v>176</v>
      </c>
      <c r="F349">
        <v>-114</v>
      </c>
      <c r="G349">
        <v>1</v>
      </c>
      <c r="H349">
        <v>1</v>
      </c>
      <c r="I349">
        <v>4</v>
      </c>
      <c r="J349">
        <v>2</v>
      </c>
      <c r="K349">
        <v>3</v>
      </c>
      <c r="L349">
        <v>811</v>
      </c>
      <c r="M349" s="23">
        <f t="shared" si="5"/>
        <v>466996</v>
      </c>
    </row>
    <row r="350" spans="1:13" x14ac:dyDescent="0.25">
      <c r="A350" s="2">
        <v>45449</v>
      </c>
      <c r="B350">
        <v>252</v>
      </c>
      <c r="C350">
        <v>199</v>
      </c>
      <c r="D350">
        <v>56</v>
      </c>
      <c r="E350">
        <v>147</v>
      </c>
      <c r="F350">
        <v>-43</v>
      </c>
      <c r="G350">
        <v>1</v>
      </c>
      <c r="H350">
        <v>1</v>
      </c>
      <c r="I350">
        <v>4</v>
      </c>
      <c r="J350">
        <v>2</v>
      </c>
      <c r="K350">
        <v>3</v>
      </c>
      <c r="L350">
        <v>712</v>
      </c>
      <c r="M350" s="23">
        <f t="shared" si="5"/>
        <v>467708</v>
      </c>
    </row>
    <row r="351" spans="1:13" x14ac:dyDescent="0.25">
      <c r="A351" s="2">
        <v>45450</v>
      </c>
      <c r="B351">
        <v>-381</v>
      </c>
      <c r="C351">
        <v>304</v>
      </c>
      <c r="D351">
        <v>109</v>
      </c>
      <c r="E351">
        <v>173</v>
      </c>
      <c r="F351">
        <v>-144</v>
      </c>
      <c r="G351">
        <v>1</v>
      </c>
      <c r="H351">
        <v>1</v>
      </c>
      <c r="I351">
        <v>4</v>
      </c>
      <c r="J351">
        <v>2</v>
      </c>
      <c r="K351">
        <v>3</v>
      </c>
      <c r="L351">
        <v>145</v>
      </c>
      <c r="M351" s="23">
        <f t="shared" si="5"/>
        <v>467853</v>
      </c>
    </row>
    <row r="352" spans="1:13" x14ac:dyDescent="0.25">
      <c r="A352" s="2">
        <v>45453</v>
      </c>
      <c r="B352">
        <v>281</v>
      </c>
      <c r="C352">
        <v>608</v>
      </c>
      <c r="D352">
        <v>274</v>
      </c>
      <c r="E352">
        <v>180</v>
      </c>
      <c r="F352">
        <v>37</v>
      </c>
      <c r="G352">
        <v>1</v>
      </c>
      <c r="H352">
        <v>1</v>
      </c>
      <c r="I352">
        <v>4</v>
      </c>
      <c r="J352">
        <v>2</v>
      </c>
      <c r="K352">
        <v>3</v>
      </c>
      <c r="L352">
        <v>2328</v>
      </c>
      <c r="M352" s="23">
        <f t="shared" si="5"/>
        <v>470181</v>
      </c>
    </row>
    <row r="353" spans="1:13" x14ac:dyDescent="0.25">
      <c r="A353" s="2">
        <v>45454</v>
      </c>
      <c r="B353">
        <v>-489</v>
      </c>
      <c r="C353">
        <v>-273</v>
      </c>
      <c r="D353">
        <v>154</v>
      </c>
      <c r="E353">
        <v>-32</v>
      </c>
      <c r="F353">
        <v>-355</v>
      </c>
      <c r="G353">
        <v>1</v>
      </c>
      <c r="H353">
        <v>1</v>
      </c>
      <c r="I353">
        <v>4</v>
      </c>
      <c r="J353">
        <v>2</v>
      </c>
      <c r="K353">
        <v>3</v>
      </c>
      <c r="L353">
        <v>-1403</v>
      </c>
      <c r="M353" s="23">
        <f t="shared" si="5"/>
        <v>468778</v>
      </c>
    </row>
    <row r="354" spans="1:13" x14ac:dyDescent="0.25">
      <c r="A354" s="2">
        <v>45456</v>
      </c>
      <c r="B354">
        <v>575</v>
      </c>
      <c r="C354">
        <v>69</v>
      </c>
      <c r="D354">
        <v>139</v>
      </c>
      <c r="E354">
        <v>357</v>
      </c>
      <c r="F354">
        <v>397</v>
      </c>
      <c r="G354">
        <v>1</v>
      </c>
      <c r="H354">
        <v>1</v>
      </c>
      <c r="I354">
        <v>4</v>
      </c>
      <c r="J354">
        <v>2</v>
      </c>
      <c r="K354">
        <v>3</v>
      </c>
      <c r="L354">
        <v>2977</v>
      </c>
      <c r="M354" s="23">
        <f t="shared" si="5"/>
        <v>471755</v>
      </c>
    </row>
    <row r="355" spans="1:13" x14ac:dyDescent="0.25">
      <c r="A355" s="2">
        <v>45457</v>
      </c>
      <c r="B355">
        <v>-308</v>
      </c>
      <c r="C355">
        <v>-450</v>
      </c>
      <c r="D355">
        <v>126</v>
      </c>
      <c r="E355">
        <v>144</v>
      </c>
      <c r="F355">
        <v>243</v>
      </c>
      <c r="G355">
        <v>1</v>
      </c>
      <c r="H355">
        <v>1</v>
      </c>
      <c r="I355">
        <v>4</v>
      </c>
      <c r="J355">
        <v>2</v>
      </c>
      <c r="K355">
        <v>3</v>
      </c>
      <c r="L355">
        <v>635</v>
      </c>
      <c r="M355" s="23">
        <f t="shared" si="5"/>
        <v>472390</v>
      </c>
    </row>
    <row r="356" spans="1:13" x14ac:dyDescent="0.25">
      <c r="A356" s="2">
        <v>45460</v>
      </c>
      <c r="B356">
        <v>344</v>
      </c>
      <c r="C356">
        <v>442</v>
      </c>
      <c r="D356">
        <v>-107</v>
      </c>
      <c r="E356">
        <v>194</v>
      </c>
      <c r="F356">
        <v>241</v>
      </c>
      <c r="G356">
        <v>1</v>
      </c>
      <c r="H356">
        <v>1</v>
      </c>
      <c r="I356">
        <v>4</v>
      </c>
      <c r="J356">
        <v>2</v>
      </c>
      <c r="K356">
        <v>3</v>
      </c>
      <c r="L356">
        <v>1341</v>
      </c>
      <c r="M356" s="23">
        <f t="shared" si="5"/>
        <v>473731</v>
      </c>
    </row>
    <row r="357" spans="1:13" x14ac:dyDescent="0.25">
      <c r="A357" s="2">
        <v>45461</v>
      </c>
      <c r="B357">
        <v>742</v>
      </c>
      <c r="C357">
        <v>883</v>
      </c>
      <c r="D357">
        <v>278</v>
      </c>
      <c r="E357">
        <v>364</v>
      </c>
      <c r="F357">
        <v>599</v>
      </c>
      <c r="G357">
        <v>1</v>
      </c>
      <c r="H357">
        <v>1</v>
      </c>
      <c r="I357">
        <v>4</v>
      </c>
      <c r="J357">
        <v>2</v>
      </c>
      <c r="K357">
        <v>3</v>
      </c>
      <c r="L357">
        <v>5134</v>
      </c>
      <c r="M357" s="23">
        <f t="shared" si="5"/>
        <v>478865</v>
      </c>
    </row>
    <row r="358" spans="1:13" x14ac:dyDescent="0.25">
      <c r="A358" s="2">
        <v>45462</v>
      </c>
      <c r="B358">
        <v>819</v>
      </c>
      <c r="C358">
        <v>964</v>
      </c>
      <c r="D358">
        <v>281</v>
      </c>
      <c r="E358">
        <v>373</v>
      </c>
      <c r="F358">
        <v>-82</v>
      </c>
      <c r="G358">
        <v>1</v>
      </c>
      <c r="H358">
        <v>1</v>
      </c>
      <c r="I358">
        <v>4</v>
      </c>
      <c r="J358">
        <v>2</v>
      </c>
      <c r="K358">
        <v>3</v>
      </c>
      <c r="L358">
        <v>3279</v>
      </c>
      <c r="M358" s="23">
        <f t="shared" si="5"/>
        <v>482144</v>
      </c>
    </row>
    <row r="359" spans="1:13" x14ac:dyDescent="0.25">
      <c r="A359" s="2">
        <v>45463</v>
      </c>
      <c r="B359">
        <v>468</v>
      </c>
      <c r="C359">
        <v>539</v>
      </c>
      <c r="D359">
        <v>-211</v>
      </c>
      <c r="E359">
        <v>-302</v>
      </c>
      <c r="F359">
        <v>-168</v>
      </c>
      <c r="G359">
        <v>1</v>
      </c>
      <c r="H359">
        <v>1</v>
      </c>
      <c r="I359">
        <v>4</v>
      </c>
      <c r="J359">
        <v>2</v>
      </c>
      <c r="K359">
        <v>3</v>
      </c>
      <c r="L359">
        <v>-1073</v>
      </c>
      <c r="M359" s="23">
        <f t="shared" si="5"/>
        <v>481071</v>
      </c>
    </row>
    <row r="360" spans="1:13" x14ac:dyDescent="0.25">
      <c r="A360" s="2">
        <v>45464</v>
      </c>
      <c r="B360">
        <v>586</v>
      </c>
      <c r="C360">
        <v>643</v>
      </c>
      <c r="D360">
        <v>-34</v>
      </c>
      <c r="E360">
        <v>-97</v>
      </c>
      <c r="F360">
        <v>261</v>
      </c>
      <c r="G360">
        <v>1</v>
      </c>
      <c r="H360">
        <v>1</v>
      </c>
      <c r="I360">
        <v>4</v>
      </c>
      <c r="J360">
        <v>2</v>
      </c>
      <c r="K360">
        <v>3</v>
      </c>
      <c r="L360">
        <v>1554</v>
      </c>
      <c r="M360" s="23">
        <f t="shared" si="5"/>
        <v>482625</v>
      </c>
    </row>
    <row r="361" spans="1:13" x14ac:dyDescent="0.25">
      <c r="A361" s="2">
        <v>45467</v>
      </c>
      <c r="B361">
        <v>1247</v>
      </c>
      <c r="C361">
        <v>1369</v>
      </c>
      <c r="D361">
        <v>194</v>
      </c>
      <c r="E361">
        <v>-209</v>
      </c>
      <c r="F361">
        <v>451</v>
      </c>
      <c r="G361">
        <v>1</v>
      </c>
      <c r="H361">
        <v>1</v>
      </c>
      <c r="I361">
        <v>4</v>
      </c>
      <c r="J361">
        <v>2</v>
      </c>
      <c r="K361">
        <v>3</v>
      </c>
      <c r="L361">
        <v>4199</v>
      </c>
      <c r="M361" s="23">
        <f t="shared" si="5"/>
        <v>486824</v>
      </c>
    </row>
    <row r="362" spans="1:13" x14ac:dyDescent="0.25">
      <c r="A362" s="2">
        <v>45468</v>
      </c>
      <c r="B362">
        <v>636</v>
      </c>
      <c r="C362">
        <v>704</v>
      </c>
      <c r="D362">
        <v>-90</v>
      </c>
      <c r="E362">
        <v>173</v>
      </c>
      <c r="F362">
        <v>-523</v>
      </c>
      <c r="G362">
        <v>1</v>
      </c>
      <c r="H362">
        <v>1</v>
      </c>
      <c r="I362">
        <v>4</v>
      </c>
      <c r="J362">
        <v>2</v>
      </c>
      <c r="K362">
        <v>3</v>
      </c>
      <c r="L362">
        <v>-371</v>
      </c>
      <c r="M362" s="23">
        <f t="shared" si="5"/>
        <v>486453</v>
      </c>
    </row>
    <row r="363" spans="1:13" x14ac:dyDescent="0.25">
      <c r="A363" s="2">
        <v>45469</v>
      </c>
      <c r="B363">
        <v>637</v>
      </c>
      <c r="C363">
        <v>705</v>
      </c>
      <c r="D363">
        <v>154</v>
      </c>
      <c r="E363">
        <v>359</v>
      </c>
      <c r="F363">
        <v>113</v>
      </c>
      <c r="G363">
        <v>1</v>
      </c>
      <c r="H363">
        <v>1</v>
      </c>
      <c r="I363">
        <v>4</v>
      </c>
      <c r="J363">
        <v>2</v>
      </c>
      <c r="K363">
        <v>3</v>
      </c>
      <c r="L363">
        <v>2887</v>
      </c>
      <c r="M363" s="23">
        <f t="shared" si="5"/>
        <v>489340</v>
      </c>
    </row>
    <row r="364" spans="1:13" x14ac:dyDescent="0.25">
      <c r="A364" s="2">
        <v>45470</v>
      </c>
      <c r="B364">
        <v>-426</v>
      </c>
      <c r="C364">
        <v>-575</v>
      </c>
      <c r="D364">
        <v>139</v>
      </c>
      <c r="E364">
        <v>341</v>
      </c>
      <c r="F364">
        <v>-8</v>
      </c>
      <c r="G364">
        <v>1</v>
      </c>
      <c r="H364">
        <v>1</v>
      </c>
      <c r="I364">
        <v>4</v>
      </c>
      <c r="J364">
        <v>2</v>
      </c>
      <c r="K364">
        <v>3</v>
      </c>
      <c r="L364">
        <v>85</v>
      </c>
      <c r="M364" s="23">
        <f t="shared" si="5"/>
        <v>489425</v>
      </c>
    </row>
    <row r="365" spans="1:13" x14ac:dyDescent="0.25">
      <c r="A365" s="2">
        <v>45471</v>
      </c>
      <c r="B365">
        <v>-1172</v>
      </c>
      <c r="C365">
        <v>950</v>
      </c>
      <c r="D365">
        <v>38</v>
      </c>
      <c r="E365">
        <v>-140</v>
      </c>
      <c r="F365">
        <v>7</v>
      </c>
      <c r="G365">
        <v>1</v>
      </c>
      <c r="H365">
        <v>1</v>
      </c>
      <c r="I365">
        <v>4</v>
      </c>
      <c r="J365">
        <v>2</v>
      </c>
      <c r="K365">
        <v>3</v>
      </c>
      <c r="L365">
        <v>-457</v>
      </c>
      <c r="M365" s="23">
        <f t="shared" si="5"/>
        <v>488968</v>
      </c>
    </row>
    <row r="366" spans="1:13" x14ac:dyDescent="0.25">
      <c r="A366" s="2">
        <v>45474</v>
      </c>
      <c r="B366">
        <v>382</v>
      </c>
      <c r="C366">
        <v>205</v>
      </c>
      <c r="D366">
        <v>131</v>
      </c>
      <c r="E366">
        <v>111</v>
      </c>
      <c r="F366">
        <v>245</v>
      </c>
      <c r="G366">
        <v>1</v>
      </c>
      <c r="H366">
        <v>1</v>
      </c>
      <c r="I366">
        <v>4</v>
      </c>
      <c r="J366">
        <v>2</v>
      </c>
      <c r="K366">
        <v>3</v>
      </c>
      <c r="L366">
        <v>1940</v>
      </c>
      <c r="M366" s="23">
        <f t="shared" si="5"/>
        <v>490908</v>
      </c>
    </row>
    <row r="367" spans="1:13" x14ac:dyDescent="0.25">
      <c r="A367" s="2">
        <v>45475</v>
      </c>
      <c r="B367">
        <v>-278</v>
      </c>
      <c r="C367">
        <v>-352</v>
      </c>
      <c r="D367">
        <v>271</v>
      </c>
      <c r="E367">
        <v>-87</v>
      </c>
      <c r="F367">
        <v>442</v>
      </c>
      <c r="G367">
        <v>1</v>
      </c>
      <c r="H367">
        <v>1</v>
      </c>
      <c r="I367">
        <v>4</v>
      </c>
      <c r="J367">
        <v>2</v>
      </c>
      <c r="K367">
        <v>3</v>
      </c>
      <c r="L367">
        <v>1478</v>
      </c>
      <c r="M367" s="23">
        <f t="shared" si="5"/>
        <v>492386</v>
      </c>
    </row>
    <row r="368" spans="1:13" x14ac:dyDescent="0.25">
      <c r="A368" s="2">
        <v>45476</v>
      </c>
      <c r="B368">
        <v>-900</v>
      </c>
      <c r="C368">
        <v>669</v>
      </c>
      <c r="D368">
        <v>152</v>
      </c>
      <c r="E368">
        <v>-72</v>
      </c>
      <c r="F368">
        <v>224</v>
      </c>
      <c r="G368">
        <v>1</v>
      </c>
      <c r="H368">
        <v>1</v>
      </c>
      <c r="I368">
        <v>4</v>
      </c>
      <c r="J368">
        <v>2</v>
      </c>
      <c r="K368">
        <v>3</v>
      </c>
      <c r="L368">
        <v>777</v>
      </c>
      <c r="M368" s="23">
        <f t="shared" si="5"/>
        <v>493163</v>
      </c>
    </row>
    <row r="369" spans="1:13" x14ac:dyDescent="0.25">
      <c r="A369" s="2">
        <v>45477</v>
      </c>
      <c r="B369">
        <v>852</v>
      </c>
      <c r="C369">
        <v>1046</v>
      </c>
      <c r="D369">
        <v>231</v>
      </c>
      <c r="E369">
        <v>365</v>
      </c>
      <c r="F369">
        <v>-146</v>
      </c>
      <c r="G369">
        <v>1</v>
      </c>
      <c r="H369">
        <v>1</v>
      </c>
      <c r="I369">
        <v>4</v>
      </c>
      <c r="J369">
        <v>2</v>
      </c>
      <c r="K369">
        <v>3</v>
      </c>
      <c r="L369">
        <v>2986</v>
      </c>
      <c r="M369" s="23">
        <f t="shared" si="5"/>
        <v>496149</v>
      </c>
    </row>
    <row r="370" spans="1:13" x14ac:dyDescent="0.25">
      <c r="A370" s="2">
        <v>45478</v>
      </c>
      <c r="B370">
        <v>588</v>
      </c>
      <c r="C370">
        <v>-477</v>
      </c>
      <c r="D370">
        <v>155</v>
      </c>
      <c r="E370">
        <v>151</v>
      </c>
      <c r="F370">
        <v>-95</v>
      </c>
      <c r="G370">
        <v>1</v>
      </c>
      <c r="H370">
        <v>1</v>
      </c>
      <c r="I370">
        <v>4</v>
      </c>
      <c r="J370">
        <v>2</v>
      </c>
      <c r="K370">
        <v>3</v>
      </c>
      <c r="L370">
        <v>620</v>
      </c>
      <c r="M370" s="23">
        <f t="shared" si="5"/>
        <v>496769</v>
      </c>
    </row>
    <row r="371" spans="1:13" x14ac:dyDescent="0.25">
      <c r="A371" s="2">
        <v>45481</v>
      </c>
      <c r="B371">
        <v>172</v>
      </c>
      <c r="C371">
        <v>313</v>
      </c>
      <c r="D371">
        <v>33</v>
      </c>
      <c r="E371">
        <v>229</v>
      </c>
      <c r="F371">
        <v>221</v>
      </c>
      <c r="G371">
        <v>1</v>
      </c>
      <c r="H371">
        <v>1</v>
      </c>
      <c r="I371">
        <v>4</v>
      </c>
      <c r="J371">
        <v>2</v>
      </c>
      <c r="K371">
        <v>3</v>
      </c>
      <c r="L371">
        <v>1610</v>
      </c>
      <c r="M371" s="23">
        <f t="shared" si="5"/>
        <v>498379</v>
      </c>
    </row>
    <row r="372" spans="1:13" x14ac:dyDescent="0.25">
      <c r="A372" s="2">
        <v>45482</v>
      </c>
      <c r="B372">
        <v>880</v>
      </c>
      <c r="C372">
        <v>795</v>
      </c>
      <c r="D372">
        <v>158</v>
      </c>
      <c r="E372">
        <v>366</v>
      </c>
      <c r="F372">
        <v>429</v>
      </c>
      <c r="G372">
        <v>1</v>
      </c>
      <c r="H372">
        <v>1</v>
      </c>
      <c r="I372">
        <v>4</v>
      </c>
      <c r="J372">
        <v>2</v>
      </c>
      <c r="K372">
        <v>3</v>
      </c>
      <c r="L372">
        <v>4198</v>
      </c>
      <c r="M372" s="23">
        <f t="shared" si="5"/>
        <v>502577</v>
      </c>
    </row>
    <row r="373" spans="1:13" x14ac:dyDescent="0.25">
      <c r="A373" s="2">
        <v>45483</v>
      </c>
      <c r="B373">
        <v>-1050</v>
      </c>
      <c r="C373">
        <v>-1058</v>
      </c>
      <c r="D373">
        <v>321</v>
      </c>
      <c r="E373">
        <v>383</v>
      </c>
      <c r="F373">
        <v>448</v>
      </c>
      <c r="G373">
        <v>1</v>
      </c>
      <c r="H373">
        <v>1</v>
      </c>
      <c r="I373">
        <v>4</v>
      </c>
      <c r="J373">
        <v>2</v>
      </c>
      <c r="K373">
        <v>3</v>
      </c>
      <c r="L373">
        <v>1158</v>
      </c>
      <c r="M373" s="23">
        <f t="shared" si="5"/>
        <v>503735</v>
      </c>
    </row>
    <row r="374" spans="1:13" x14ac:dyDescent="0.25">
      <c r="A374" s="2">
        <v>45484</v>
      </c>
      <c r="B374">
        <v>-523</v>
      </c>
      <c r="C374">
        <v>-231</v>
      </c>
      <c r="D374">
        <v>-288</v>
      </c>
      <c r="E374">
        <v>193</v>
      </c>
      <c r="F374">
        <v>224</v>
      </c>
      <c r="G374">
        <v>1</v>
      </c>
      <c r="H374">
        <v>1</v>
      </c>
      <c r="I374">
        <v>4</v>
      </c>
      <c r="J374">
        <v>2</v>
      </c>
      <c r="K374">
        <v>3</v>
      </c>
      <c r="L374">
        <v>-976</v>
      </c>
      <c r="M374" s="23">
        <f t="shared" si="5"/>
        <v>502759</v>
      </c>
    </row>
    <row r="375" spans="1:13" x14ac:dyDescent="0.25">
      <c r="A375" s="2">
        <v>45485</v>
      </c>
      <c r="B375">
        <v>-12</v>
      </c>
      <c r="C375">
        <v>-342</v>
      </c>
      <c r="D375">
        <v>167</v>
      </c>
      <c r="E375">
        <v>208</v>
      </c>
      <c r="F375">
        <v>-191</v>
      </c>
      <c r="G375">
        <v>1</v>
      </c>
      <c r="H375">
        <v>1</v>
      </c>
      <c r="I375">
        <v>4</v>
      </c>
      <c r="J375">
        <v>2</v>
      </c>
      <c r="K375">
        <v>3</v>
      </c>
      <c r="L375">
        <v>29</v>
      </c>
      <c r="M375" s="23">
        <f t="shared" si="5"/>
        <v>502788</v>
      </c>
    </row>
    <row r="376" spans="1:13" x14ac:dyDescent="0.25">
      <c r="A376" s="2">
        <v>45488</v>
      </c>
      <c r="B376">
        <v>297</v>
      </c>
      <c r="C376">
        <v>619</v>
      </c>
      <c r="D376">
        <v>176</v>
      </c>
      <c r="E376">
        <v>422</v>
      </c>
      <c r="F376">
        <v>295</v>
      </c>
      <c r="G376">
        <v>1</v>
      </c>
      <c r="H376">
        <v>1</v>
      </c>
      <c r="I376">
        <v>4</v>
      </c>
      <c r="J376">
        <v>2</v>
      </c>
      <c r="K376">
        <v>3</v>
      </c>
      <c r="L376">
        <v>3221</v>
      </c>
      <c r="M376" s="23">
        <f t="shared" si="5"/>
        <v>506009</v>
      </c>
    </row>
    <row r="377" spans="1:13" x14ac:dyDescent="0.25">
      <c r="A377" s="2">
        <v>45489</v>
      </c>
      <c r="B377">
        <v>-94</v>
      </c>
      <c r="C377">
        <v>-90</v>
      </c>
      <c r="D377">
        <v>161</v>
      </c>
      <c r="E377">
        <v>-316</v>
      </c>
      <c r="F377">
        <v>-150</v>
      </c>
      <c r="G377">
        <v>1</v>
      </c>
      <c r="H377">
        <v>1</v>
      </c>
      <c r="I377">
        <v>4</v>
      </c>
      <c r="J377">
        <v>2</v>
      </c>
      <c r="K377">
        <v>3</v>
      </c>
      <c r="L377">
        <v>-750</v>
      </c>
      <c r="M377" s="23">
        <f t="shared" si="5"/>
        <v>505259</v>
      </c>
    </row>
    <row r="378" spans="1:13" x14ac:dyDescent="0.25">
      <c r="A378" s="2">
        <v>45490</v>
      </c>
      <c r="B378">
        <v>984</v>
      </c>
      <c r="C378">
        <v>672</v>
      </c>
      <c r="D378">
        <v>-33</v>
      </c>
      <c r="E378">
        <v>-53</v>
      </c>
      <c r="F378">
        <v>-149</v>
      </c>
      <c r="G378">
        <v>1</v>
      </c>
      <c r="H378">
        <v>1</v>
      </c>
      <c r="I378">
        <v>4</v>
      </c>
      <c r="J378">
        <v>2</v>
      </c>
      <c r="K378">
        <v>3</v>
      </c>
      <c r="L378">
        <v>843</v>
      </c>
      <c r="M378" s="23">
        <f t="shared" si="5"/>
        <v>506102</v>
      </c>
    </row>
    <row r="379" spans="1:13" x14ac:dyDescent="0.25">
      <c r="A379" s="2">
        <v>45491</v>
      </c>
      <c r="B379">
        <v>-391</v>
      </c>
      <c r="C379">
        <v>-86</v>
      </c>
      <c r="D379">
        <v>162</v>
      </c>
      <c r="E379">
        <v>227</v>
      </c>
      <c r="F379">
        <v>78</v>
      </c>
      <c r="G379">
        <v>1</v>
      </c>
      <c r="H379">
        <v>1</v>
      </c>
      <c r="I379">
        <v>4</v>
      </c>
      <c r="J379">
        <v>2</v>
      </c>
      <c r="K379">
        <v>3</v>
      </c>
      <c r="L379">
        <v>731</v>
      </c>
      <c r="M379" s="23">
        <f t="shared" si="5"/>
        <v>506833</v>
      </c>
    </row>
    <row r="380" spans="1:13" x14ac:dyDescent="0.25">
      <c r="A380" s="2">
        <v>45492</v>
      </c>
      <c r="B380">
        <v>465</v>
      </c>
      <c r="C380">
        <v>497</v>
      </c>
      <c r="D380">
        <v>125</v>
      </c>
      <c r="E380">
        <v>12</v>
      </c>
      <c r="F380">
        <v>360</v>
      </c>
      <c r="G380">
        <v>1</v>
      </c>
      <c r="H380">
        <v>1</v>
      </c>
      <c r="I380">
        <v>4</v>
      </c>
      <c r="J380">
        <v>2</v>
      </c>
      <c r="K380">
        <v>3</v>
      </c>
      <c r="L380">
        <v>2438</v>
      </c>
      <c r="M380" s="23">
        <f t="shared" si="5"/>
        <v>509271</v>
      </c>
    </row>
    <row r="381" spans="1:13" x14ac:dyDescent="0.25">
      <c r="A381" s="2">
        <v>45495</v>
      </c>
      <c r="B381">
        <v>-516</v>
      </c>
      <c r="C381">
        <v>-520</v>
      </c>
      <c r="D381">
        <v>-59</v>
      </c>
      <c r="E381">
        <v>-332</v>
      </c>
      <c r="F381">
        <v>142</v>
      </c>
      <c r="G381">
        <v>1</v>
      </c>
      <c r="H381">
        <v>1</v>
      </c>
      <c r="I381">
        <v>4</v>
      </c>
      <c r="J381">
        <v>2</v>
      </c>
      <c r="K381">
        <v>3</v>
      </c>
      <c r="L381">
        <v>-1638</v>
      </c>
      <c r="M381" s="23">
        <f t="shared" si="5"/>
        <v>507633</v>
      </c>
    </row>
    <row r="382" spans="1:13" x14ac:dyDescent="0.25">
      <c r="A382" s="2">
        <v>45496</v>
      </c>
      <c r="B382">
        <v>444</v>
      </c>
      <c r="C382">
        <v>472</v>
      </c>
      <c r="D382">
        <v>310</v>
      </c>
      <c r="E382">
        <v>-18</v>
      </c>
      <c r="F382">
        <v>201</v>
      </c>
      <c r="G382">
        <v>1</v>
      </c>
      <c r="H382">
        <v>1</v>
      </c>
      <c r="I382">
        <v>4</v>
      </c>
      <c r="J382">
        <v>2</v>
      </c>
      <c r="K382">
        <v>3</v>
      </c>
      <c r="L382">
        <v>2595</v>
      </c>
      <c r="M382" s="23">
        <f t="shared" si="5"/>
        <v>510228</v>
      </c>
    </row>
    <row r="383" spans="1:13" x14ac:dyDescent="0.25">
      <c r="A383" s="2">
        <v>45497</v>
      </c>
      <c r="B383">
        <v>287</v>
      </c>
      <c r="C383">
        <v>210</v>
      </c>
      <c r="D383">
        <v>284</v>
      </c>
      <c r="E383">
        <v>-166</v>
      </c>
      <c r="F383">
        <v>-60</v>
      </c>
      <c r="G383">
        <v>1</v>
      </c>
      <c r="H383">
        <v>1</v>
      </c>
      <c r="I383">
        <v>4</v>
      </c>
      <c r="J383">
        <v>2</v>
      </c>
      <c r="K383">
        <v>3</v>
      </c>
      <c r="L383">
        <v>993</v>
      </c>
      <c r="M383" s="23">
        <f t="shared" si="5"/>
        <v>511221</v>
      </c>
    </row>
    <row r="384" spans="1:13" x14ac:dyDescent="0.25">
      <c r="A384" s="2">
        <v>45498</v>
      </c>
      <c r="B384">
        <v>322</v>
      </c>
      <c r="C384">
        <v>246</v>
      </c>
      <c r="D384">
        <v>-102</v>
      </c>
      <c r="E384">
        <v>170</v>
      </c>
      <c r="F384">
        <v>16</v>
      </c>
      <c r="G384">
        <v>1</v>
      </c>
      <c r="H384">
        <v>1</v>
      </c>
      <c r="I384">
        <v>4</v>
      </c>
      <c r="J384">
        <v>2</v>
      </c>
      <c r="K384">
        <v>3</v>
      </c>
      <c r="L384">
        <v>420</v>
      </c>
      <c r="M384" s="23">
        <f t="shared" si="5"/>
        <v>511641</v>
      </c>
    </row>
    <row r="385" spans="1:13" x14ac:dyDescent="0.25">
      <c r="A385" s="2">
        <v>45499</v>
      </c>
      <c r="B385">
        <v>418</v>
      </c>
      <c r="C385">
        <v>447</v>
      </c>
      <c r="D385">
        <v>99</v>
      </c>
      <c r="E385">
        <v>198</v>
      </c>
      <c r="F385">
        <v>389</v>
      </c>
      <c r="G385">
        <v>1</v>
      </c>
      <c r="H385">
        <v>1</v>
      </c>
      <c r="I385">
        <v>4</v>
      </c>
      <c r="J385">
        <v>2</v>
      </c>
      <c r="K385">
        <v>3</v>
      </c>
      <c r="L385">
        <v>2696</v>
      </c>
      <c r="M385" s="23">
        <f t="shared" si="5"/>
        <v>514337</v>
      </c>
    </row>
    <row r="386" spans="1:13" x14ac:dyDescent="0.25">
      <c r="A386" s="2">
        <v>45502</v>
      </c>
      <c r="B386">
        <v>423</v>
      </c>
      <c r="C386">
        <v>453</v>
      </c>
      <c r="D386">
        <v>301</v>
      </c>
      <c r="E386">
        <v>405</v>
      </c>
      <c r="F386">
        <v>204</v>
      </c>
      <c r="G386">
        <v>1</v>
      </c>
      <c r="H386">
        <v>1</v>
      </c>
      <c r="I386">
        <v>4</v>
      </c>
      <c r="J386">
        <v>2</v>
      </c>
      <c r="K386">
        <v>3</v>
      </c>
      <c r="L386">
        <v>3374</v>
      </c>
      <c r="M386" s="23">
        <f t="shared" si="5"/>
        <v>517711</v>
      </c>
    </row>
    <row r="387" spans="1:13" x14ac:dyDescent="0.25">
      <c r="A387" s="2">
        <v>45503</v>
      </c>
      <c r="B387">
        <v>-168</v>
      </c>
      <c r="C387">
        <v>-156</v>
      </c>
      <c r="D387">
        <v>-50</v>
      </c>
      <c r="E387">
        <v>-264</v>
      </c>
      <c r="F387">
        <v>252</v>
      </c>
      <c r="G387">
        <v>1</v>
      </c>
      <c r="H387">
        <v>1</v>
      </c>
      <c r="I387">
        <v>4</v>
      </c>
      <c r="J387">
        <v>2</v>
      </c>
      <c r="K387">
        <v>3</v>
      </c>
      <c r="L387">
        <v>-424</v>
      </c>
      <c r="M387" s="23">
        <f t="shared" si="5"/>
        <v>517287</v>
      </c>
    </row>
    <row r="388" spans="1:13" x14ac:dyDescent="0.25">
      <c r="A388" s="2">
        <v>45504</v>
      </c>
      <c r="B388">
        <v>405</v>
      </c>
      <c r="C388">
        <v>439</v>
      </c>
      <c r="D388">
        <v>85</v>
      </c>
      <c r="E388">
        <v>-158</v>
      </c>
      <c r="F388">
        <v>115</v>
      </c>
      <c r="G388">
        <v>1</v>
      </c>
      <c r="H388">
        <v>1</v>
      </c>
      <c r="I388">
        <v>4</v>
      </c>
      <c r="J388">
        <v>2</v>
      </c>
      <c r="K388">
        <v>3</v>
      </c>
      <c r="L388">
        <v>1085</v>
      </c>
      <c r="M388" s="23">
        <f t="shared" ref="M388:M451" si="6">M387+L388</f>
        <v>518372</v>
      </c>
    </row>
    <row r="389" spans="1:13" x14ac:dyDescent="0.25">
      <c r="A389" s="2">
        <v>45505</v>
      </c>
      <c r="B389">
        <v>683</v>
      </c>
      <c r="C389">
        <v>882</v>
      </c>
      <c r="D389">
        <v>144</v>
      </c>
      <c r="E389">
        <v>170</v>
      </c>
      <c r="F389">
        <v>165</v>
      </c>
      <c r="G389">
        <v>1</v>
      </c>
      <c r="H389">
        <v>1</v>
      </c>
      <c r="I389">
        <v>4</v>
      </c>
      <c r="J389">
        <v>2</v>
      </c>
      <c r="K389">
        <v>3</v>
      </c>
      <c r="L389">
        <v>2848</v>
      </c>
      <c r="M389" s="23">
        <f t="shared" si="6"/>
        <v>521220</v>
      </c>
    </row>
    <row r="390" spans="1:13" x14ac:dyDescent="0.25">
      <c r="A390" s="2">
        <v>45506</v>
      </c>
      <c r="B390">
        <v>-307</v>
      </c>
      <c r="C390">
        <v>438</v>
      </c>
      <c r="D390">
        <v>75</v>
      </c>
      <c r="E390">
        <v>18</v>
      </c>
      <c r="F390">
        <v>-101</v>
      </c>
      <c r="G390">
        <v>1</v>
      </c>
      <c r="H390">
        <v>1</v>
      </c>
      <c r="I390">
        <v>4</v>
      </c>
      <c r="J390">
        <v>2</v>
      </c>
      <c r="K390">
        <v>3</v>
      </c>
      <c r="L390">
        <v>36</v>
      </c>
      <c r="M390" s="23">
        <f t="shared" si="6"/>
        <v>521256</v>
      </c>
    </row>
    <row r="391" spans="1:13" x14ac:dyDescent="0.25">
      <c r="A391" s="2">
        <v>45509</v>
      </c>
      <c r="B391">
        <v>-47</v>
      </c>
      <c r="C391">
        <v>186</v>
      </c>
      <c r="D391">
        <v>200</v>
      </c>
      <c r="E391">
        <v>385</v>
      </c>
      <c r="F391">
        <v>202</v>
      </c>
      <c r="G391">
        <v>1</v>
      </c>
      <c r="H391">
        <v>1</v>
      </c>
      <c r="I391">
        <v>4</v>
      </c>
      <c r="J391">
        <v>2</v>
      </c>
      <c r="K391">
        <v>3</v>
      </c>
      <c r="L391">
        <v>2187</v>
      </c>
      <c r="M391" s="23">
        <f t="shared" si="6"/>
        <v>523443</v>
      </c>
    </row>
    <row r="392" spans="1:13" x14ac:dyDescent="0.25">
      <c r="A392" s="2">
        <v>45510</v>
      </c>
      <c r="B392">
        <v>-508</v>
      </c>
      <c r="C392">
        <v>-473</v>
      </c>
      <c r="D392">
        <v>-30</v>
      </c>
      <c r="E392">
        <v>-87</v>
      </c>
      <c r="F392">
        <v>-131</v>
      </c>
      <c r="G392">
        <v>1</v>
      </c>
      <c r="H392">
        <v>1</v>
      </c>
      <c r="I392">
        <v>4</v>
      </c>
      <c r="J392">
        <v>2</v>
      </c>
      <c r="K392">
        <v>3</v>
      </c>
      <c r="L392">
        <v>-1796</v>
      </c>
      <c r="M392" s="23">
        <f t="shared" si="6"/>
        <v>521647</v>
      </c>
    </row>
    <row r="393" spans="1:13" x14ac:dyDescent="0.25">
      <c r="A393" s="2">
        <v>45511</v>
      </c>
      <c r="B393">
        <v>-18</v>
      </c>
      <c r="C393">
        <v>102</v>
      </c>
      <c r="D393">
        <v>67</v>
      </c>
      <c r="E393">
        <v>68</v>
      </c>
      <c r="F393">
        <v>-19</v>
      </c>
      <c r="G393">
        <v>1</v>
      </c>
      <c r="H393">
        <v>1</v>
      </c>
      <c r="I393">
        <v>4</v>
      </c>
      <c r="J393">
        <v>2</v>
      </c>
      <c r="K393">
        <v>3</v>
      </c>
      <c r="L393">
        <v>303</v>
      </c>
      <c r="M393" s="23">
        <f t="shared" si="6"/>
        <v>521950</v>
      </c>
    </row>
    <row r="394" spans="1:13" x14ac:dyDescent="0.25">
      <c r="A394" s="2">
        <v>45512</v>
      </c>
      <c r="B394">
        <v>-481</v>
      </c>
      <c r="C394">
        <v>-499</v>
      </c>
      <c r="D394">
        <v>135</v>
      </c>
      <c r="E394">
        <v>205</v>
      </c>
      <c r="F394">
        <v>8</v>
      </c>
      <c r="G394">
        <v>1</v>
      </c>
      <c r="H394">
        <v>1</v>
      </c>
      <c r="I394">
        <v>4</v>
      </c>
      <c r="J394">
        <v>2</v>
      </c>
      <c r="K394">
        <v>3</v>
      </c>
      <c r="L394">
        <v>-134</v>
      </c>
      <c r="M394" s="23">
        <f t="shared" si="6"/>
        <v>521816</v>
      </c>
    </row>
    <row r="395" spans="1:13" x14ac:dyDescent="0.25">
      <c r="A395" s="2">
        <v>45513</v>
      </c>
      <c r="B395">
        <v>140</v>
      </c>
      <c r="C395">
        <v>134</v>
      </c>
      <c r="D395">
        <v>-61</v>
      </c>
      <c r="E395">
        <v>39</v>
      </c>
      <c r="F395">
        <v>-116</v>
      </c>
      <c r="G395">
        <v>1</v>
      </c>
      <c r="H395">
        <v>1</v>
      </c>
      <c r="I395">
        <v>4</v>
      </c>
      <c r="J395">
        <v>2</v>
      </c>
      <c r="K395">
        <v>3</v>
      </c>
      <c r="L395">
        <v>-368</v>
      </c>
      <c r="M395" s="23">
        <f t="shared" si="6"/>
        <v>521448</v>
      </c>
    </row>
    <row r="396" spans="1:13" x14ac:dyDescent="0.25">
      <c r="A396" s="2">
        <v>45516</v>
      </c>
      <c r="B396">
        <v>735</v>
      </c>
      <c r="C396">
        <v>405</v>
      </c>
      <c r="D396">
        <v>-5</v>
      </c>
      <c r="E396">
        <v>3</v>
      </c>
      <c r="F396">
        <v>-266</v>
      </c>
      <c r="G396">
        <v>1</v>
      </c>
      <c r="H396">
        <v>1</v>
      </c>
      <c r="I396">
        <v>4</v>
      </c>
      <c r="J396">
        <v>2</v>
      </c>
      <c r="K396">
        <v>3</v>
      </c>
      <c r="L396">
        <v>200</v>
      </c>
      <c r="M396" s="23">
        <f t="shared" si="6"/>
        <v>521648</v>
      </c>
    </row>
    <row r="397" spans="1:13" x14ac:dyDescent="0.25">
      <c r="A397" s="2">
        <v>45517</v>
      </c>
      <c r="B397">
        <v>785</v>
      </c>
      <c r="C397">
        <v>904</v>
      </c>
      <c r="D397">
        <v>59</v>
      </c>
      <c r="E397">
        <v>-173</v>
      </c>
      <c r="F397">
        <v>188</v>
      </c>
      <c r="G397">
        <v>1</v>
      </c>
      <c r="H397">
        <v>1</v>
      </c>
      <c r="I397">
        <v>4</v>
      </c>
      <c r="J397">
        <v>2</v>
      </c>
      <c r="K397">
        <v>3</v>
      </c>
      <c r="L397">
        <v>2015</v>
      </c>
      <c r="M397" s="23">
        <f t="shared" si="6"/>
        <v>523663</v>
      </c>
    </row>
    <row r="398" spans="1:13" x14ac:dyDescent="0.25">
      <c r="A398" s="2">
        <v>45518</v>
      </c>
      <c r="B398">
        <v>408</v>
      </c>
      <c r="C398">
        <v>460</v>
      </c>
      <c r="D398">
        <v>-123</v>
      </c>
      <c r="E398">
        <v>187</v>
      </c>
      <c r="F398">
        <v>210</v>
      </c>
      <c r="G398">
        <v>1</v>
      </c>
      <c r="H398">
        <v>1</v>
      </c>
      <c r="I398">
        <v>4</v>
      </c>
      <c r="J398">
        <v>2</v>
      </c>
      <c r="K398">
        <v>3</v>
      </c>
      <c r="L398">
        <v>1252</v>
      </c>
      <c r="M398" s="23">
        <f t="shared" si="6"/>
        <v>524915</v>
      </c>
    </row>
    <row r="399" spans="1:13" x14ac:dyDescent="0.25">
      <c r="A399" s="2">
        <v>45519</v>
      </c>
      <c r="B399">
        <v>-273</v>
      </c>
      <c r="C399">
        <v>41</v>
      </c>
      <c r="D399">
        <v>251</v>
      </c>
      <c r="E399">
        <v>265</v>
      </c>
      <c r="F399">
        <v>-112</v>
      </c>
      <c r="G399">
        <v>1</v>
      </c>
      <c r="H399">
        <v>1</v>
      </c>
      <c r="I399">
        <v>4</v>
      </c>
      <c r="J399">
        <v>2</v>
      </c>
      <c r="K399">
        <v>3</v>
      </c>
      <c r="L399">
        <v>838</v>
      </c>
      <c r="M399" s="23">
        <f t="shared" si="6"/>
        <v>525753</v>
      </c>
    </row>
    <row r="400" spans="1:13" x14ac:dyDescent="0.25">
      <c r="A400" s="2">
        <v>45520</v>
      </c>
      <c r="B400">
        <v>54</v>
      </c>
      <c r="C400">
        <v>546</v>
      </c>
      <c r="D400">
        <v>165</v>
      </c>
      <c r="E400">
        <v>334</v>
      </c>
      <c r="F400">
        <v>277</v>
      </c>
      <c r="G400">
        <v>1</v>
      </c>
      <c r="H400">
        <v>1</v>
      </c>
      <c r="I400">
        <v>4</v>
      </c>
      <c r="J400">
        <v>2</v>
      </c>
      <c r="K400">
        <v>3</v>
      </c>
      <c r="L400">
        <v>2631</v>
      </c>
      <c r="M400" s="23">
        <f t="shared" si="6"/>
        <v>528384</v>
      </c>
    </row>
    <row r="401" spans="1:13" x14ac:dyDescent="0.25">
      <c r="A401" s="2">
        <v>45523</v>
      </c>
      <c r="B401">
        <v>253</v>
      </c>
      <c r="C401">
        <v>543</v>
      </c>
      <c r="D401">
        <v>83</v>
      </c>
      <c r="E401">
        <v>361</v>
      </c>
      <c r="F401">
        <v>352</v>
      </c>
      <c r="G401">
        <v>1</v>
      </c>
      <c r="H401">
        <v>1</v>
      </c>
      <c r="I401">
        <v>4</v>
      </c>
      <c r="J401">
        <v>2</v>
      </c>
      <c r="K401">
        <v>3</v>
      </c>
      <c r="L401">
        <v>2778</v>
      </c>
      <c r="M401" s="23">
        <f t="shared" si="6"/>
        <v>531162</v>
      </c>
    </row>
    <row r="402" spans="1:13" x14ac:dyDescent="0.25">
      <c r="A402" s="2">
        <v>45524</v>
      </c>
      <c r="B402">
        <v>654</v>
      </c>
      <c r="C402">
        <v>914</v>
      </c>
      <c r="D402">
        <v>6</v>
      </c>
      <c r="E402">
        <v>43</v>
      </c>
      <c r="F402">
        <v>251</v>
      </c>
      <c r="G402">
        <v>1</v>
      </c>
      <c r="H402">
        <v>1</v>
      </c>
      <c r="I402">
        <v>4</v>
      </c>
      <c r="J402">
        <v>2</v>
      </c>
      <c r="K402">
        <v>3</v>
      </c>
      <c r="L402">
        <v>2303</v>
      </c>
      <c r="M402" s="23">
        <f t="shared" si="6"/>
        <v>533465</v>
      </c>
    </row>
    <row r="403" spans="1:13" x14ac:dyDescent="0.25">
      <c r="A403" s="2">
        <v>45525</v>
      </c>
      <c r="B403">
        <v>-313</v>
      </c>
      <c r="C403">
        <v>12</v>
      </c>
      <c r="D403">
        <v>227</v>
      </c>
      <c r="E403">
        <v>-39</v>
      </c>
      <c r="F403">
        <v>183</v>
      </c>
      <c r="G403">
        <v>1</v>
      </c>
      <c r="H403">
        <v>1</v>
      </c>
      <c r="I403">
        <v>4</v>
      </c>
      <c r="J403">
        <v>2</v>
      </c>
      <c r="K403">
        <v>3</v>
      </c>
      <c r="L403">
        <v>950</v>
      </c>
      <c r="M403" s="23">
        <f t="shared" si="6"/>
        <v>534415</v>
      </c>
    </row>
    <row r="404" spans="1:13" x14ac:dyDescent="0.25">
      <c r="A404" s="2">
        <v>45526</v>
      </c>
      <c r="B404">
        <v>812</v>
      </c>
      <c r="C404">
        <v>453</v>
      </c>
      <c r="D404">
        <v>227</v>
      </c>
      <c r="E404">
        <v>190</v>
      </c>
      <c r="F404">
        <v>-9</v>
      </c>
      <c r="G404">
        <v>1</v>
      </c>
      <c r="H404">
        <v>1</v>
      </c>
      <c r="I404">
        <v>4</v>
      </c>
      <c r="J404">
        <v>2</v>
      </c>
      <c r="K404">
        <v>3</v>
      </c>
      <c r="L404">
        <v>2398</v>
      </c>
      <c r="M404" s="23">
        <f t="shared" si="6"/>
        <v>536813</v>
      </c>
    </row>
    <row r="405" spans="1:13" x14ac:dyDescent="0.25">
      <c r="A405" s="2">
        <v>45527</v>
      </c>
      <c r="B405">
        <v>417</v>
      </c>
      <c r="C405">
        <v>473</v>
      </c>
      <c r="D405">
        <v>219</v>
      </c>
      <c r="E405">
        <v>274</v>
      </c>
      <c r="F405">
        <v>183</v>
      </c>
      <c r="G405">
        <v>1</v>
      </c>
      <c r="H405">
        <v>1</v>
      </c>
      <c r="I405">
        <v>4</v>
      </c>
      <c r="J405">
        <v>2</v>
      </c>
      <c r="K405">
        <v>3</v>
      </c>
      <c r="L405">
        <v>2735</v>
      </c>
      <c r="M405" s="23">
        <f t="shared" si="6"/>
        <v>539548</v>
      </c>
    </row>
    <row r="406" spans="1:13" x14ac:dyDescent="0.25">
      <c r="A406" s="2">
        <v>45530</v>
      </c>
      <c r="B406">
        <v>715</v>
      </c>
      <c r="C406">
        <v>803</v>
      </c>
      <c r="D406">
        <v>125</v>
      </c>
      <c r="E406">
        <v>-250</v>
      </c>
      <c r="F406">
        <v>-83</v>
      </c>
      <c r="G406">
        <v>1</v>
      </c>
      <c r="H406">
        <v>1</v>
      </c>
      <c r="I406">
        <v>4</v>
      </c>
      <c r="J406">
        <v>2</v>
      </c>
      <c r="K406">
        <v>3</v>
      </c>
      <c r="L406">
        <v>1141</v>
      </c>
      <c r="M406" s="23">
        <f t="shared" si="6"/>
        <v>540689</v>
      </c>
    </row>
    <row r="407" spans="1:13" x14ac:dyDescent="0.25">
      <c r="A407" s="2">
        <v>45531</v>
      </c>
      <c r="B407">
        <v>214</v>
      </c>
      <c r="C407">
        <v>310</v>
      </c>
      <c r="D407">
        <v>142</v>
      </c>
      <c r="E407">
        <v>202</v>
      </c>
      <c r="F407">
        <v>201</v>
      </c>
      <c r="G407">
        <v>1</v>
      </c>
      <c r="H407">
        <v>1</v>
      </c>
      <c r="I407">
        <v>4</v>
      </c>
      <c r="J407">
        <v>2</v>
      </c>
      <c r="K407">
        <v>3</v>
      </c>
      <c r="L407">
        <v>1971</v>
      </c>
      <c r="M407" s="23">
        <f t="shared" si="6"/>
        <v>542660</v>
      </c>
    </row>
    <row r="408" spans="1:13" x14ac:dyDescent="0.25">
      <c r="A408" s="2">
        <v>45532</v>
      </c>
      <c r="B408">
        <v>-143</v>
      </c>
      <c r="C408">
        <v>-392</v>
      </c>
      <c r="D408">
        <v>-44</v>
      </c>
      <c r="E408">
        <v>-229</v>
      </c>
      <c r="F408">
        <v>0</v>
      </c>
      <c r="G408">
        <v>1</v>
      </c>
      <c r="H408">
        <v>1</v>
      </c>
      <c r="I408">
        <v>4</v>
      </c>
      <c r="J408">
        <v>2</v>
      </c>
      <c r="K408">
        <v>3</v>
      </c>
      <c r="L408">
        <v>-1297</v>
      </c>
      <c r="M408" s="23">
        <f t="shared" si="6"/>
        <v>541363</v>
      </c>
    </row>
    <row r="409" spans="1:13" x14ac:dyDescent="0.25">
      <c r="A409" s="2">
        <v>45533</v>
      </c>
      <c r="B409">
        <v>-484</v>
      </c>
      <c r="C409">
        <v>-303</v>
      </c>
      <c r="D409">
        <v>146</v>
      </c>
      <c r="E409">
        <v>-173</v>
      </c>
      <c r="F409">
        <v>196</v>
      </c>
      <c r="G409">
        <v>1</v>
      </c>
      <c r="H409">
        <v>1</v>
      </c>
      <c r="I409">
        <v>4</v>
      </c>
      <c r="J409">
        <v>2</v>
      </c>
      <c r="K409">
        <v>3</v>
      </c>
      <c r="L409">
        <v>-89</v>
      </c>
      <c r="M409" s="23">
        <f t="shared" si="6"/>
        <v>541274</v>
      </c>
    </row>
    <row r="410" spans="1:13" x14ac:dyDescent="0.25">
      <c r="A410" s="2">
        <v>45534</v>
      </c>
      <c r="B410">
        <v>407</v>
      </c>
      <c r="C410">
        <v>462</v>
      </c>
      <c r="D410">
        <v>154</v>
      </c>
      <c r="E410">
        <v>410</v>
      </c>
      <c r="F410">
        <v>383</v>
      </c>
      <c r="G410">
        <v>1</v>
      </c>
      <c r="H410">
        <v>1</v>
      </c>
      <c r="I410">
        <v>4</v>
      </c>
      <c r="J410">
        <v>2</v>
      </c>
      <c r="K410">
        <v>3</v>
      </c>
      <c r="L410">
        <v>3326</v>
      </c>
      <c r="M410" s="23">
        <f t="shared" si="6"/>
        <v>544600</v>
      </c>
    </row>
    <row r="411" spans="1:13" x14ac:dyDescent="0.25">
      <c r="A411" s="2">
        <v>45537</v>
      </c>
      <c r="B411">
        <v>805</v>
      </c>
      <c r="C411">
        <v>923</v>
      </c>
      <c r="D411">
        <v>127</v>
      </c>
      <c r="E411">
        <v>419</v>
      </c>
      <c r="F411">
        <v>396</v>
      </c>
      <c r="G411">
        <v>1</v>
      </c>
      <c r="H411">
        <v>1</v>
      </c>
      <c r="I411">
        <v>4</v>
      </c>
      <c r="J411">
        <v>2</v>
      </c>
      <c r="K411">
        <v>3</v>
      </c>
      <c r="L411">
        <v>4134</v>
      </c>
      <c r="M411" s="23">
        <f t="shared" si="6"/>
        <v>548734</v>
      </c>
    </row>
    <row r="412" spans="1:13" x14ac:dyDescent="0.25">
      <c r="A412" s="2">
        <v>45538</v>
      </c>
      <c r="B412">
        <v>812</v>
      </c>
      <c r="C412">
        <v>926</v>
      </c>
      <c r="D412">
        <v>160</v>
      </c>
      <c r="E412">
        <v>91</v>
      </c>
      <c r="F412">
        <v>90</v>
      </c>
      <c r="G412">
        <v>1</v>
      </c>
      <c r="H412">
        <v>1</v>
      </c>
      <c r="I412">
        <v>4</v>
      </c>
      <c r="J412">
        <v>2</v>
      </c>
      <c r="K412">
        <v>3</v>
      </c>
      <c r="L412">
        <v>2702</v>
      </c>
      <c r="M412" s="23">
        <f t="shared" si="6"/>
        <v>551436</v>
      </c>
    </row>
    <row r="413" spans="1:13" x14ac:dyDescent="0.25">
      <c r="A413" s="2">
        <v>45539</v>
      </c>
      <c r="B413">
        <v>408</v>
      </c>
      <c r="C413">
        <v>471</v>
      </c>
      <c r="D413">
        <v>-172</v>
      </c>
      <c r="E413">
        <v>232</v>
      </c>
      <c r="F413">
        <v>212</v>
      </c>
      <c r="G413">
        <v>1</v>
      </c>
      <c r="H413">
        <v>1</v>
      </c>
      <c r="I413">
        <v>4</v>
      </c>
      <c r="J413">
        <v>2</v>
      </c>
      <c r="K413">
        <v>3</v>
      </c>
      <c r="L413">
        <v>1163</v>
      </c>
      <c r="M413" s="23">
        <f t="shared" si="6"/>
        <v>552599</v>
      </c>
    </row>
    <row r="414" spans="1:13" x14ac:dyDescent="0.25">
      <c r="A414" s="2">
        <v>45540</v>
      </c>
      <c r="B414">
        <v>-366</v>
      </c>
      <c r="C414">
        <v>-146</v>
      </c>
      <c r="D414">
        <v>92</v>
      </c>
      <c r="E414">
        <v>-165</v>
      </c>
      <c r="F414">
        <v>218</v>
      </c>
      <c r="G414">
        <v>1</v>
      </c>
      <c r="H414">
        <v>1</v>
      </c>
      <c r="I414">
        <v>4</v>
      </c>
      <c r="J414">
        <v>2</v>
      </c>
      <c r="K414">
        <v>3</v>
      </c>
      <c r="L414">
        <v>52</v>
      </c>
      <c r="M414" s="23">
        <f t="shared" si="6"/>
        <v>552651</v>
      </c>
    </row>
    <row r="415" spans="1:13" x14ac:dyDescent="0.25">
      <c r="A415" s="2">
        <v>45541</v>
      </c>
      <c r="B415">
        <v>-816</v>
      </c>
      <c r="C415">
        <v>-637</v>
      </c>
      <c r="D415">
        <v>-106</v>
      </c>
      <c r="E415">
        <v>-190</v>
      </c>
      <c r="F415">
        <v>-153</v>
      </c>
      <c r="G415">
        <v>1</v>
      </c>
      <c r="H415">
        <v>1</v>
      </c>
      <c r="I415">
        <v>4</v>
      </c>
      <c r="J415">
        <v>2</v>
      </c>
      <c r="K415">
        <v>3</v>
      </c>
      <c r="L415">
        <v>-2844</v>
      </c>
      <c r="M415" s="23">
        <f t="shared" si="6"/>
        <v>549807</v>
      </c>
    </row>
    <row r="416" spans="1:13" x14ac:dyDescent="0.25">
      <c r="A416" s="2">
        <v>45544</v>
      </c>
      <c r="B416">
        <v>740</v>
      </c>
      <c r="C416">
        <v>627</v>
      </c>
      <c r="D416">
        <v>-167</v>
      </c>
      <c r="E416">
        <v>473</v>
      </c>
      <c r="F416">
        <v>438</v>
      </c>
      <c r="G416">
        <v>1</v>
      </c>
      <c r="H416">
        <v>1</v>
      </c>
      <c r="I416">
        <v>4</v>
      </c>
      <c r="J416">
        <v>2</v>
      </c>
      <c r="K416">
        <v>3</v>
      </c>
      <c r="L416">
        <v>2831</v>
      </c>
      <c r="M416" s="23">
        <f t="shared" si="6"/>
        <v>552638</v>
      </c>
    </row>
    <row r="417" spans="1:13" x14ac:dyDescent="0.25">
      <c r="A417" s="2">
        <v>45545</v>
      </c>
      <c r="B417">
        <v>106</v>
      </c>
      <c r="C417">
        <v>-192</v>
      </c>
      <c r="D417">
        <v>147</v>
      </c>
      <c r="E417">
        <v>-196</v>
      </c>
      <c r="F417">
        <v>-217</v>
      </c>
      <c r="G417">
        <v>1</v>
      </c>
      <c r="H417">
        <v>1</v>
      </c>
      <c r="I417">
        <v>4</v>
      </c>
      <c r="J417">
        <v>2</v>
      </c>
      <c r="K417">
        <v>3</v>
      </c>
      <c r="L417">
        <v>-669</v>
      </c>
      <c r="M417" s="23">
        <f t="shared" si="6"/>
        <v>551969</v>
      </c>
    </row>
    <row r="418" spans="1:13" x14ac:dyDescent="0.25">
      <c r="A418" s="2">
        <v>45546</v>
      </c>
      <c r="B418">
        <v>389</v>
      </c>
      <c r="C418">
        <v>451</v>
      </c>
      <c r="D418">
        <v>188</v>
      </c>
      <c r="E418">
        <v>337</v>
      </c>
      <c r="F418">
        <v>146</v>
      </c>
      <c r="G418">
        <v>1</v>
      </c>
      <c r="H418">
        <v>1</v>
      </c>
      <c r="I418">
        <v>4</v>
      </c>
      <c r="J418">
        <v>2</v>
      </c>
      <c r="K418">
        <v>3</v>
      </c>
      <c r="L418">
        <v>2576</v>
      </c>
      <c r="M418" s="23">
        <f t="shared" si="6"/>
        <v>554545</v>
      </c>
    </row>
    <row r="419" spans="1:13" x14ac:dyDescent="0.25">
      <c r="A419" s="2">
        <v>45547</v>
      </c>
      <c r="B419">
        <v>-265</v>
      </c>
      <c r="C419">
        <v>-597</v>
      </c>
      <c r="D419">
        <v>281</v>
      </c>
      <c r="E419">
        <v>298</v>
      </c>
      <c r="F419">
        <v>-106</v>
      </c>
      <c r="G419">
        <v>1</v>
      </c>
      <c r="H419">
        <v>1</v>
      </c>
      <c r="I419">
        <v>4</v>
      </c>
      <c r="J419">
        <v>2</v>
      </c>
      <c r="K419">
        <v>3</v>
      </c>
      <c r="L419">
        <v>412</v>
      </c>
      <c r="M419" s="23">
        <f t="shared" si="6"/>
        <v>554957</v>
      </c>
    </row>
    <row r="420" spans="1:13" x14ac:dyDescent="0.25">
      <c r="A420" s="2">
        <v>45548</v>
      </c>
      <c r="B420">
        <v>171</v>
      </c>
      <c r="C420">
        <v>201</v>
      </c>
      <c r="D420">
        <v>-105</v>
      </c>
      <c r="E420">
        <v>-329</v>
      </c>
      <c r="F420">
        <v>250</v>
      </c>
      <c r="G420">
        <v>1</v>
      </c>
      <c r="H420">
        <v>1</v>
      </c>
      <c r="I420">
        <v>4</v>
      </c>
      <c r="J420">
        <v>2</v>
      </c>
      <c r="K420">
        <v>3</v>
      </c>
      <c r="L420">
        <v>-84</v>
      </c>
      <c r="M420" s="23">
        <f t="shared" si="6"/>
        <v>554873</v>
      </c>
    </row>
    <row r="421" spans="1:13" x14ac:dyDescent="0.25">
      <c r="A421" s="2">
        <v>45551</v>
      </c>
      <c r="B421">
        <v>488</v>
      </c>
      <c r="C421">
        <v>857</v>
      </c>
      <c r="D421">
        <v>127</v>
      </c>
      <c r="E421">
        <v>305</v>
      </c>
      <c r="F421">
        <v>179</v>
      </c>
      <c r="G421">
        <v>1</v>
      </c>
      <c r="H421">
        <v>1</v>
      </c>
      <c r="I421">
        <v>4</v>
      </c>
      <c r="J421">
        <v>2</v>
      </c>
      <c r="K421">
        <v>3</v>
      </c>
      <c r="L421">
        <v>2872</v>
      </c>
      <c r="M421" s="23">
        <f t="shared" si="6"/>
        <v>557745</v>
      </c>
    </row>
    <row r="422" spans="1:13" x14ac:dyDescent="0.25">
      <c r="A422" s="2">
        <v>45552</v>
      </c>
      <c r="B422">
        <v>-344</v>
      </c>
      <c r="C422">
        <v>438</v>
      </c>
      <c r="D422">
        <v>80</v>
      </c>
      <c r="E422">
        <v>125</v>
      </c>
      <c r="F422">
        <v>-105</v>
      </c>
      <c r="G422">
        <v>1</v>
      </c>
      <c r="H422">
        <v>1</v>
      </c>
      <c r="I422">
        <v>4</v>
      </c>
      <c r="J422">
        <v>2</v>
      </c>
      <c r="K422">
        <v>3</v>
      </c>
      <c r="L422">
        <v>221</v>
      </c>
      <c r="M422" s="23">
        <f t="shared" si="6"/>
        <v>557966</v>
      </c>
    </row>
    <row r="423" spans="1:13" x14ac:dyDescent="0.25">
      <c r="A423" s="2">
        <v>45553</v>
      </c>
      <c r="B423">
        <v>368</v>
      </c>
      <c r="C423">
        <v>530</v>
      </c>
      <c r="D423">
        <v>-112</v>
      </c>
      <c r="E423">
        <v>237</v>
      </c>
      <c r="F423">
        <v>215</v>
      </c>
      <c r="G423">
        <v>1</v>
      </c>
      <c r="H423">
        <v>1</v>
      </c>
      <c r="I423">
        <v>4</v>
      </c>
      <c r="J423">
        <v>2</v>
      </c>
      <c r="K423">
        <v>3</v>
      </c>
      <c r="L423">
        <v>1441</v>
      </c>
      <c r="M423" s="23">
        <f t="shared" si="6"/>
        <v>559407</v>
      </c>
    </row>
    <row r="424" spans="1:13" x14ac:dyDescent="0.25">
      <c r="A424" s="2">
        <v>45554</v>
      </c>
      <c r="B424">
        <v>261</v>
      </c>
      <c r="C424">
        <v>24</v>
      </c>
      <c r="D424">
        <v>-35</v>
      </c>
      <c r="E424">
        <v>-67</v>
      </c>
      <c r="F424">
        <v>-141</v>
      </c>
      <c r="G424">
        <v>1</v>
      </c>
      <c r="H424">
        <v>1</v>
      </c>
      <c r="I424">
        <v>4</v>
      </c>
      <c r="J424">
        <v>2</v>
      </c>
      <c r="K424">
        <v>3</v>
      </c>
      <c r="L424">
        <v>-540</v>
      </c>
      <c r="M424" s="23">
        <f t="shared" si="6"/>
        <v>558867</v>
      </c>
    </row>
    <row r="425" spans="1:13" x14ac:dyDescent="0.25">
      <c r="A425" s="2">
        <v>45555</v>
      </c>
      <c r="B425">
        <v>364</v>
      </c>
      <c r="C425">
        <v>840</v>
      </c>
      <c r="D425">
        <v>-33</v>
      </c>
      <c r="E425">
        <v>386</v>
      </c>
      <c r="F425">
        <v>187</v>
      </c>
      <c r="G425">
        <v>1</v>
      </c>
      <c r="H425">
        <v>1</v>
      </c>
      <c r="I425">
        <v>4</v>
      </c>
      <c r="J425">
        <v>2</v>
      </c>
      <c r="K425">
        <v>3</v>
      </c>
      <c r="L425">
        <v>2277</v>
      </c>
      <c r="M425" s="23">
        <f t="shared" si="6"/>
        <v>561144</v>
      </c>
    </row>
    <row r="426" spans="1:13" x14ac:dyDescent="0.25">
      <c r="A426" s="2">
        <v>45558</v>
      </c>
      <c r="B426">
        <v>-109</v>
      </c>
      <c r="C426">
        <v>429</v>
      </c>
      <c r="D426">
        <v>271</v>
      </c>
      <c r="E426">
        <v>323</v>
      </c>
      <c r="F426">
        <v>294</v>
      </c>
      <c r="G426">
        <v>1</v>
      </c>
      <c r="H426">
        <v>1</v>
      </c>
      <c r="I426">
        <v>4</v>
      </c>
      <c r="J426">
        <v>2</v>
      </c>
      <c r="K426">
        <v>3</v>
      </c>
      <c r="L426">
        <v>2804</v>
      </c>
      <c r="M426" s="23">
        <f t="shared" si="6"/>
        <v>563948</v>
      </c>
    </row>
    <row r="427" spans="1:13" x14ac:dyDescent="0.25">
      <c r="A427" s="2">
        <v>45559</v>
      </c>
      <c r="B427">
        <v>735</v>
      </c>
      <c r="C427">
        <v>372</v>
      </c>
      <c r="D427">
        <v>293</v>
      </c>
      <c r="E427">
        <v>-53</v>
      </c>
      <c r="F427">
        <v>209</v>
      </c>
      <c r="G427">
        <v>1</v>
      </c>
      <c r="H427">
        <v>1</v>
      </c>
      <c r="I427">
        <v>4</v>
      </c>
      <c r="J427">
        <v>2</v>
      </c>
      <c r="K427">
        <v>3</v>
      </c>
      <c r="L427">
        <v>2672</v>
      </c>
      <c r="M427" s="23">
        <f t="shared" si="6"/>
        <v>566620</v>
      </c>
    </row>
    <row r="428" spans="1:13" x14ac:dyDescent="0.25">
      <c r="A428" s="2">
        <v>45560</v>
      </c>
      <c r="B428">
        <v>-133</v>
      </c>
      <c r="C428">
        <v>380</v>
      </c>
      <c r="D428">
        <v>159</v>
      </c>
      <c r="E428">
        <v>455</v>
      </c>
      <c r="F428">
        <v>50</v>
      </c>
      <c r="G428">
        <v>1</v>
      </c>
      <c r="H428">
        <v>1</v>
      </c>
      <c r="I428">
        <v>4</v>
      </c>
      <c r="J428">
        <v>2</v>
      </c>
      <c r="K428">
        <v>3</v>
      </c>
      <c r="L428">
        <v>1815</v>
      </c>
      <c r="M428" s="23">
        <f t="shared" si="6"/>
        <v>568435</v>
      </c>
    </row>
    <row r="429" spans="1:13" x14ac:dyDescent="0.25">
      <c r="A429" s="2">
        <v>45561</v>
      </c>
      <c r="B429">
        <v>560</v>
      </c>
      <c r="C429">
        <v>-700</v>
      </c>
      <c r="D429">
        <v>-226</v>
      </c>
      <c r="E429">
        <v>25</v>
      </c>
      <c r="F429">
        <v>240</v>
      </c>
      <c r="G429">
        <v>1</v>
      </c>
      <c r="H429">
        <v>1</v>
      </c>
      <c r="I429">
        <v>4</v>
      </c>
      <c r="J429">
        <v>2</v>
      </c>
      <c r="K429">
        <v>3</v>
      </c>
      <c r="L429">
        <v>-402</v>
      </c>
      <c r="M429" s="23">
        <f t="shared" si="6"/>
        <v>568033</v>
      </c>
    </row>
    <row r="430" spans="1:13" x14ac:dyDescent="0.25">
      <c r="A430" s="2">
        <v>45562</v>
      </c>
      <c r="B430">
        <v>346</v>
      </c>
      <c r="C430">
        <v>845</v>
      </c>
      <c r="D430">
        <v>327</v>
      </c>
      <c r="E430">
        <v>26</v>
      </c>
      <c r="F430">
        <v>204</v>
      </c>
      <c r="G430">
        <v>1</v>
      </c>
      <c r="H430">
        <v>1</v>
      </c>
      <c r="I430">
        <v>4</v>
      </c>
      <c r="J430">
        <v>2</v>
      </c>
      <c r="K430">
        <v>3</v>
      </c>
      <c r="L430">
        <v>3035</v>
      </c>
      <c r="M430" s="23">
        <f t="shared" si="6"/>
        <v>571068</v>
      </c>
    </row>
    <row r="431" spans="1:13" x14ac:dyDescent="0.25">
      <c r="A431" s="2">
        <v>45565</v>
      </c>
      <c r="B431">
        <v>152</v>
      </c>
      <c r="C431">
        <v>-197</v>
      </c>
      <c r="D431">
        <v>165</v>
      </c>
      <c r="E431">
        <v>-57</v>
      </c>
      <c r="F431">
        <v>-186</v>
      </c>
      <c r="G431">
        <v>1</v>
      </c>
      <c r="H431">
        <v>1</v>
      </c>
      <c r="I431">
        <v>4</v>
      </c>
      <c r="J431">
        <v>2</v>
      </c>
      <c r="K431">
        <v>3</v>
      </c>
      <c r="L431">
        <v>-185</v>
      </c>
      <c r="M431" s="23">
        <f t="shared" si="6"/>
        <v>570883</v>
      </c>
    </row>
    <row r="432" spans="1:13" x14ac:dyDescent="0.25">
      <c r="A432" s="2">
        <v>45566</v>
      </c>
      <c r="B432">
        <v>625</v>
      </c>
      <c r="C432">
        <v>-143</v>
      </c>
      <c r="D432">
        <v>295</v>
      </c>
      <c r="E432">
        <v>158</v>
      </c>
      <c r="F432">
        <v>260</v>
      </c>
      <c r="G432">
        <v>1</v>
      </c>
      <c r="H432">
        <v>1</v>
      </c>
      <c r="I432">
        <v>4</v>
      </c>
      <c r="J432">
        <v>2</v>
      </c>
      <c r="K432">
        <v>3</v>
      </c>
      <c r="L432">
        <v>2630</v>
      </c>
      <c r="M432" s="23">
        <f t="shared" si="6"/>
        <v>573513</v>
      </c>
    </row>
    <row r="433" spans="1:13" x14ac:dyDescent="0.25">
      <c r="A433" s="2">
        <v>45567</v>
      </c>
      <c r="B433">
        <v>676</v>
      </c>
      <c r="C433">
        <v>814</v>
      </c>
      <c r="D433">
        <v>341</v>
      </c>
      <c r="E433">
        <v>413</v>
      </c>
      <c r="F433">
        <v>378</v>
      </c>
      <c r="G433">
        <v>1</v>
      </c>
      <c r="H433">
        <v>1</v>
      </c>
      <c r="I433">
        <v>4</v>
      </c>
      <c r="J433">
        <v>2</v>
      </c>
      <c r="K433">
        <v>3</v>
      </c>
      <c r="L433">
        <v>4686</v>
      </c>
      <c r="M433" s="23">
        <f t="shared" si="6"/>
        <v>578199</v>
      </c>
    </row>
    <row r="434" spans="1:13" x14ac:dyDescent="0.25">
      <c r="A434" s="2">
        <v>45568</v>
      </c>
      <c r="B434">
        <v>-96</v>
      </c>
      <c r="C434">
        <v>402</v>
      </c>
      <c r="D434">
        <v>-197</v>
      </c>
      <c r="E434">
        <v>215</v>
      </c>
      <c r="F434">
        <v>37</v>
      </c>
      <c r="G434">
        <v>1</v>
      </c>
      <c r="H434">
        <v>1</v>
      </c>
      <c r="I434">
        <v>4</v>
      </c>
      <c r="J434">
        <v>2</v>
      </c>
      <c r="K434">
        <v>3</v>
      </c>
      <c r="L434">
        <v>-69</v>
      </c>
      <c r="M434" s="23">
        <f t="shared" si="6"/>
        <v>578130</v>
      </c>
    </row>
    <row r="435" spans="1:13" x14ac:dyDescent="0.25">
      <c r="A435" s="2">
        <v>45569</v>
      </c>
      <c r="B435">
        <v>-314</v>
      </c>
      <c r="C435">
        <v>125</v>
      </c>
      <c r="D435">
        <v>-62</v>
      </c>
      <c r="E435">
        <v>-67</v>
      </c>
      <c r="F435">
        <v>-75</v>
      </c>
      <c r="G435">
        <v>1</v>
      </c>
      <c r="H435">
        <v>1</v>
      </c>
      <c r="I435">
        <v>4</v>
      </c>
      <c r="J435">
        <v>2</v>
      </c>
      <c r="K435">
        <v>3</v>
      </c>
      <c r="L435">
        <v>-924</v>
      </c>
      <c r="M435" s="23">
        <f t="shared" si="6"/>
        <v>577206</v>
      </c>
    </row>
    <row r="436" spans="1:13" x14ac:dyDescent="0.25">
      <c r="A436" s="2">
        <v>45572</v>
      </c>
      <c r="B436">
        <v>666</v>
      </c>
      <c r="C436">
        <v>-672</v>
      </c>
      <c r="D436">
        <v>40</v>
      </c>
      <c r="E436">
        <v>199</v>
      </c>
      <c r="F436">
        <v>202</v>
      </c>
      <c r="G436">
        <v>1</v>
      </c>
      <c r="H436">
        <v>1</v>
      </c>
      <c r="I436">
        <v>4</v>
      </c>
      <c r="J436">
        <v>2</v>
      </c>
      <c r="K436">
        <v>3</v>
      </c>
      <c r="L436">
        <v>1030</v>
      </c>
      <c r="M436" s="23">
        <f t="shared" si="6"/>
        <v>578236</v>
      </c>
    </row>
    <row r="437" spans="1:13" x14ac:dyDescent="0.25">
      <c r="A437" s="2">
        <v>45573</v>
      </c>
      <c r="B437">
        <v>241</v>
      </c>
      <c r="C437">
        <v>293</v>
      </c>
      <c r="D437">
        <v>57</v>
      </c>
      <c r="E437">
        <v>25</v>
      </c>
      <c r="F437">
        <v>-218</v>
      </c>
      <c r="G437">
        <v>1</v>
      </c>
      <c r="H437">
        <v>1</v>
      </c>
      <c r="I437">
        <v>4</v>
      </c>
      <c r="J437">
        <v>2</v>
      </c>
      <c r="K437">
        <v>3</v>
      </c>
      <c r="L437">
        <v>30</v>
      </c>
      <c r="M437" s="23">
        <f t="shared" si="6"/>
        <v>578266</v>
      </c>
    </row>
    <row r="438" spans="1:13" x14ac:dyDescent="0.25">
      <c r="A438" s="2">
        <v>45574</v>
      </c>
      <c r="B438">
        <v>268</v>
      </c>
      <c r="C438">
        <v>-23</v>
      </c>
      <c r="D438">
        <v>-147</v>
      </c>
      <c r="E438">
        <v>282</v>
      </c>
      <c r="F438">
        <v>-201</v>
      </c>
      <c r="G438">
        <v>1</v>
      </c>
      <c r="H438">
        <v>1</v>
      </c>
      <c r="I438">
        <v>4</v>
      </c>
      <c r="J438">
        <v>2</v>
      </c>
      <c r="K438">
        <v>3</v>
      </c>
      <c r="L438">
        <v>-510</v>
      </c>
      <c r="M438" s="23">
        <f t="shared" si="6"/>
        <v>577756</v>
      </c>
    </row>
    <row r="439" spans="1:13" x14ac:dyDescent="0.25">
      <c r="A439" s="2">
        <v>45575</v>
      </c>
      <c r="B439">
        <v>331</v>
      </c>
      <c r="C439">
        <v>762</v>
      </c>
      <c r="D439">
        <v>-25</v>
      </c>
      <c r="E439">
        <v>84</v>
      </c>
      <c r="F439">
        <v>91</v>
      </c>
      <c r="G439">
        <v>1</v>
      </c>
      <c r="H439">
        <v>1</v>
      </c>
      <c r="I439">
        <v>4</v>
      </c>
      <c r="J439">
        <v>2</v>
      </c>
      <c r="K439">
        <v>3</v>
      </c>
      <c r="L439">
        <v>1306</v>
      </c>
      <c r="M439" s="23">
        <f t="shared" si="6"/>
        <v>579062</v>
      </c>
    </row>
    <row r="440" spans="1:13" x14ac:dyDescent="0.25">
      <c r="A440" s="2">
        <v>45576</v>
      </c>
      <c r="B440">
        <v>224</v>
      </c>
      <c r="C440">
        <v>382</v>
      </c>
      <c r="D440">
        <v>76</v>
      </c>
      <c r="E440">
        <v>268</v>
      </c>
      <c r="F440">
        <v>367</v>
      </c>
      <c r="G440">
        <v>1</v>
      </c>
      <c r="H440">
        <v>1</v>
      </c>
      <c r="I440">
        <v>4</v>
      </c>
      <c r="J440">
        <v>2</v>
      </c>
      <c r="K440">
        <v>3</v>
      </c>
      <c r="L440">
        <v>2419</v>
      </c>
      <c r="M440" s="23">
        <f t="shared" si="6"/>
        <v>581481</v>
      </c>
    </row>
    <row r="441" spans="1:13" x14ac:dyDescent="0.25">
      <c r="A441" s="2">
        <v>45579</v>
      </c>
      <c r="B441">
        <v>-172</v>
      </c>
      <c r="C441">
        <v>30</v>
      </c>
      <c r="D441">
        <v>-106</v>
      </c>
      <c r="E441">
        <v>182</v>
      </c>
      <c r="F441">
        <v>-327</v>
      </c>
      <c r="G441">
        <v>1</v>
      </c>
      <c r="H441">
        <v>1</v>
      </c>
      <c r="I441">
        <v>4</v>
      </c>
      <c r="J441">
        <v>2</v>
      </c>
      <c r="K441">
        <v>3</v>
      </c>
      <c r="L441">
        <v>-1311</v>
      </c>
      <c r="M441" s="23">
        <f t="shared" si="6"/>
        <v>580170</v>
      </c>
    </row>
    <row r="442" spans="1:13" x14ac:dyDescent="0.25">
      <c r="A442" s="2">
        <v>45580</v>
      </c>
      <c r="B442">
        <v>676</v>
      </c>
      <c r="C442">
        <v>391</v>
      </c>
      <c r="D442">
        <v>253</v>
      </c>
      <c r="E442">
        <v>173</v>
      </c>
      <c r="F442">
        <v>124</v>
      </c>
      <c r="G442">
        <v>1</v>
      </c>
      <c r="H442">
        <v>1</v>
      </c>
      <c r="I442">
        <v>4</v>
      </c>
      <c r="J442">
        <v>2</v>
      </c>
      <c r="K442">
        <v>3</v>
      </c>
      <c r="L442">
        <v>2669</v>
      </c>
      <c r="M442" s="23">
        <f t="shared" si="6"/>
        <v>582839</v>
      </c>
    </row>
    <row r="443" spans="1:13" x14ac:dyDescent="0.25">
      <c r="A443" s="2">
        <v>45581</v>
      </c>
      <c r="B443">
        <v>355</v>
      </c>
      <c r="C443">
        <v>407</v>
      </c>
      <c r="D443">
        <v>258</v>
      </c>
      <c r="E443">
        <v>190</v>
      </c>
      <c r="F443">
        <v>-115</v>
      </c>
      <c r="G443">
        <v>1</v>
      </c>
      <c r="H443">
        <v>1</v>
      </c>
      <c r="I443">
        <v>4</v>
      </c>
      <c r="J443">
        <v>2</v>
      </c>
      <c r="K443">
        <v>3</v>
      </c>
      <c r="L443">
        <v>1701</v>
      </c>
      <c r="M443" s="23">
        <f t="shared" si="6"/>
        <v>584540</v>
      </c>
    </row>
    <row r="444" spans="1:13" x14ac:dyDescent="0.25">
      <c r="A444" s="2">
        <v>45582</v>
      </c>
      <c r="B444">
        <v>722</v>
      </c>
      <c r="C444">
        <v>826</v>
      </c>
      <c r="D444">
        <v>-84</v>
      </c>
      <c r="E444">
        <v>299</v>
      </c>
      <c r="F444">
        <v>261</v>
      </c>
      <c r="G444">
        <v>1</v>
      </c>
      <c r="H444">
        <v>1</v>
      </c>
      <c r="I444">
        <v>4</v>
      </c>
      <c r="J444">
        <v>2</v>
      </c>
      <c r="K444">
        <v>3</v>
      </c>
      <c r="L444">
        <v>2465</v>
      </c>
      <c r="M444" s="23">
        <f t="shared" si="6"/>
        <v>587005</v>
      </c>
    </row>
    <row r="445" spans="1:13" x14ac:dyDescent="0.25">
      <c r="A445" s="2">
        <v>45583</v>
      </c>
      <c r="B445">
        <v>656</v>
      </c>
      <c r="C445">
        <v>484</v>
      </c>
      <c r="D445">
        <v>77</v>
      </c>
      <c r="E445">
        <v>56</v>
      </c>
      <c r="F445">
        <v>55</v>
      </c>
      <c r="G445">
        <v>1</v>
      </c>
      <c r="H445">
        <v>1</v>
      </c>
      <c r="I445">
        <v>4</v>
      </c>
      <c r="J445">
        <v>2</v>
      </c>
      <c r="K445">
        <v>3</v>
      </c>
      <c r="L445">
        <v>1597</v>
      </c>
      <c r="M445" s="23">
        <f t="shared" si="6"/>
        <v>588602</v>
      </c>
    </row>
    <row r="446" spans="1:13" x14ac:dyDescent="0.25">
      <c r="A446" s="2">
        <v>45586</v>
      </c>
      <c r="B446">
        <v>-575</v>
      </c>
      <c r="C446">
        <v>-306</v>
      </c>
      <c r="D446">
        <v>13</v>
      </c>
      <c r="E446">
        <v>34</v>
      </c>
      <c r="F446">
        <v>79</v>
      </c>
      <c r="G446">
        <v>1</v>
      </c>
      <c r="H446">
        <v>1</v>
      </c>
      <c r="I446">
        <v>4</v>
      </c>
      <c r="J446">
        <v>2</v>
      </c>
      <c r="K446">
        <v>3</v>
      </c>
      <c r="L446">
        <v>-652</v>
      </c>
      <c r="M446" s="23">
        <f t="shared" si="6"/>
        <v>587950</v>
      </c>
    </row>
    <row r="447" spans="1:13" x14ac:dyDescent="0.25">
      <c r="A447" s="2">
        <v>45587</v>
      </c>
      <c r="B447">
        <v>526</v>
      </c>
      <c r="C447">
        <v>272</v>
      </c>
      <c r="D447">
        <v>28</v>
      </c>
      <c r="E447">
        <v>182</v>
      </c>
      <c r="F447">
        <v>188</v>
      </c>
      <c r="G447">
        <v>1</v>
      </c>
      <c r="H447">
        <v>1</v>
      </c>
      <c r="I447">
        <v>4</v>
      </c>
      <c r="J447">
        <v>2</v>
      </c>
      <c r="K447">
        <v>3</v>
      </c>
      <c r="L447">
        <v>1710</v>
      </c>
      <c r="M447" s="23">
        <f t="shared" si="6"/>
        <v>589660</v>
      </c>
    </row>
    <row r="448" spans="1:13" x14ac:dyDescent="0.25">
      <c r="A448" s="2">
        <v>45588</v>
      </c>
      <c r="B448">
        <v>357</v>
      </c>
      <c r="C448">
        <v>399</v>
      </c>
      <c r="D448">
        <v>126</v>
      </c>
      <c r="E448">
        <v>356</v>
      </c>
      <c r="F448">
        <v>234</v>
      </c>
      <c r="G448">
        <v>1</v>
      </c>
      <c r="H448">
        <v>1</v>
      </c>
      <c r="I448">
        <v>4</v>
      </c>
      <c r="J448">
        <v>2</v>
      </c>
      <c r="K448">
        <v>3</v>
      </c>
      <c r="L448">
        <v>2546</v>
      </c>
      <c r="M448" s="23">
        <f t="shared" si="6"/>
        <v>592206</v>
      </c>
    </row>
    <row r="449" spans="1:13" x14ac:dyDescent="0.25">
      <c r="A449" s="2">
        <v>45589</v>
      </c>
      <c r="B449">
        <v>348</v>
      </c>
      <c r="C449">
        <v>392</v>
      </c>
      <c r="D449">
        <v>54</v>
      </c>
      <c r="E449">
        <v>43</v>
      </c>
      <c r="F449">
        <v>1</v>
      </c>
      <c r="G449">
        <v>1</v>
      </c>
      <c r="H449">
        <v>1</v>
      </c>
      <c r="I449">
        <v>4</v>
      </c>
      <c r="J449">
        <v>2</v>
      </c>
      <c r="K449">
        <v>3</v>
      </c>
      <c r="L449">
        <v>917</v>
      </c>
      <c r="M449" s="23">
        <f t="shared" si="6"/>
        <v>593123</v>
      </c>
    </row>
    <row r="450" spans="1:13" x14ac:dyDescent="0.25">
      <c r="A450" s="2">
        <v>45590</v>
      </c>
      <c r="B450">
        <v>259</v>
      </c>
      <c r="C450">
        <v>130</v>
      </c>
      <c r="D450">
        <v>138</v>
      </c>
      <c r="E450">
        <v>173</v>
      </c>
      <c r="F450">
        <v>162</v>
      </c>
      <c r="G450">
        <v>1</v>
      </c>
      <c r="H450">
        <v>1</v>
      </c>
      <c r="I450">
        <v>4</v>
      </c>
      <c r="J450">
        <v>2</v>
      </c>
      <c r="K450">
        <v>3</v>
      </c>
      <c r="L450">
        <v>1645</v>
      </c>
      <c r="M450" s="23">
        <f t="shared" si="6"/>
        <v>594768</v>
      </c>
    </row>
    <row r="451" spans="1:13" x14ac:dyDescent="0.25">
      <c r="A451" s="2">
        <v>45593</v>
      </c>
      <c r="B451">
        <v>689</v>
      </c>
      <c r="C451">
        <v>394</v>
      </c>
      <c r="D451">
        <v>252</v>
      </c>
      <c r="E451">
        <v>147</v>
      </c>
      <c r="F451">
        <v>369</v>
      </c>
      <c r="G451">
        <v>1</v>
      </c>
      <c r="H451">
        <v>1</v>
      </c>
      <c r="I451">
        <v>4</v>
      </c>
      <c r="J451">
        <v>2</v>
      </c>
      <c r="K451">
        <v>3</v>
      </c>
      <c r="L451">
        <v>3364</v>
      </c>
      <c r="M451" s="23">
        <f t="shared" si="6"/>
        <v>598132</v>
      </c>
    </row>
    <row r="452" spans="1:13" x14ac:dyDescent="0.25">
      <c r="A452" s="2">
        <v>45594</v>
      </c>
      <c r="B452">
        <v>-201</v>
      </c>
      <c r="C452">
        <v>-176</v>
      </c>
      <c r="D452">
        <v>-56</v>
      </c>
      <c r="E452">
        <v>83</v>
      </c>
      <c r="F452">
        <v>105</v>
      </c>
      <c r="G452">
        <v>1</v>
      </c>
      <c r="H452">
        <v>1</v>
      </c>
      <c r="I452">
        <v>4</v>
      </c>
      <c r="J452">
        <v>2</v>
      </c>
      <c r="K452">
        <v>3</v>
      </c>
      <c r="L452">
        <v>-248</v>
      </c>
      <c r="M452" s="23">
        <f t="shared" ref="M452:M454" si="7">M451+L452</f>
        <v>597884</v>
      </c>
    </row>
    <row r="453" spans="1:13" x14ac:dyDescent="0.25">
      <c r="A453" s="2">
        <v>45595</v>
      </c>
      <c r="B453">
        <v>705</v>
      </c>
      <c r="C453">
        <v>520</v>
      </c>
      <c r="D453">
        <v>143</v>
      </c>
      <c r="E453">
        <v>145</v>
      </c>
      <c r="F453">
        <v>359</v>
      </c>
      <c r="G453">
        <v>1</v>
      </c>
      <c r="H453">
        <v>1</v>
      </c>
      <c r="I453">
        <v>4</v>
      </c>
      <c r="J453">
        <v>2</v>
      </c>
      <c r="K453">
        <v>3</v>
      </c>
      <c r="L453">
        <v>3036</v>
      </c>
      <c r="M453" s="23">
        <f t="shared" si="7"/>
        <v>600920</v>
      </c>
    </row>
    <row r="454" spans="1:13" x14ac:dyDescent="0.25">
      <c r="A454" s="2">
        <v>45596</v>
      </c>
      <c r="B454">
        <v>-94</v>
      </c>
      <c r="C454">
        <v>-222</v>
      </c>
      <c r="D454">
        <v>8</v>
      </c>
      <c r="E454">
        <v>323</v>
      </c>
      <c r="F454">
        <v>362</v>
      </c>
      <c r="G454">
        <v>1</v>
      </c>
      <c r="H454">
        <v>1</v>
      </c>
      <c r="I454">
        <v>4</v>
      </c>
      <c r="J454">
        <v>2</v>
      </c>
      <c r="K454">
        <v>3</v>
      </c>
      <c r="L454">
        <v>1320</v>
      </c>
      <c r="M454" s="23">
        <f t="shared" si="7"/>
        <v>602240</v>
      </c>
    </row>
  </sheetData>
  <autoFilter ref="A1:M454" xr:uid="{986C3482-2F21-41B0-AD76-77B5D9A7778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Sheet1</vt:lpstr>
      <vt:lpstr>oct24</vt:lpstr>
      <vt:lpstr>nov24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Владимир Иванов</cp:lastModifiedBy>
  <dcterms:created xsi:type="dcterms:W3CDTF">2024-10-19T14:52:13Z</dcterms:created>
  <dcterms:modified xsi:type="dcterms:W3CDTF">2024-11-17T17:19:07Z</dcterms:modified>
</cp:coreProperties>
</file>